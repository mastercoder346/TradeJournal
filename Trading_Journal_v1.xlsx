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6915878E-C3D8-4B65-8FAE-13C6BD6972E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Dashboard" sheetId="2" r:id="rId2"/>
    <sheet name="Trade Log" sheetId="3" r:id="rId3"/>
    <sheet name="Calendar View" sheetId="4" r:id="rId4"/>
    <sheet name="Yearly Revi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F12" i="5"/>
  <c r="D12" i="5"/>
  <c r="B12" i="5"/>
  <c r="H9" i="5"/>
  <c r="F9" i="5"/>
  <c r="D9" i="5"/>
  <c r="H6" i="5"/>
  <c r="F6" i="5"/>
  <c r="D6" i="5"/>
  <c r="B6" i="5"/>
  <c r="B2" i="5"/>
  <c r="B5" i="4"/>
  <c r="B6" i="4" s="1"/>
  <c r="B2" i="4"/>
  <c r="Q100" i="3"/>
  <c r="P100" i="3"/>
  <c r="O100" i="3"/>
  <c r="J100" i="3"/>
  <c r="I100" i="3"/>
  <c r="Q99" i="3"/>
  <c r="P99" i="3"/>
  <c r="O99" i="3"/>
  <c r="J99" i="3"/>
  <c r="I99" i="3"/>
  <c r="Q98" i="3"/>
  <c r="P98" i="3"/>
  <c r="O98" i="3"/>
  <c r="J98" i="3"/>
  <c r="I98" i="3"/>
  <c r="Q97" i="3"/>
  <c r="P97" i="3"/>
  <c r="O97" i="3"/>
  <c r="J97" i="3"/>
  <c r="I97" i="3"/>
  <c r="Q96" i="3"/>
  <c r="P96" i="3"/>
  <c r="O96" i="3"/>
  <c r="J96" i="3"/>
  <c r="I96" i="3"/>
  <c r="Q95" i="3"/>
  <c r="P95" i="3"/>
  <c r="O95" i="3"/>
  <c r="J95" i="3"/>
  <c r="I95" i="3"/>
  <c r="Q94" i="3"/>
  <c r="P94" i="3"/>
  <c r="O94" i="3"/>
  <c r="J94" i="3"/>
  <c r="I94" i="3"/>
  <c r="Q93" i="3"/>
  <c r="P93" i="3"/>
  <c r="O93" i="3"/>
  <c r="J93" i="3"/>
  <c r="I93" i="3"/>
  <c r="Q92" i="3"/>
  <c r="P92" i="3"/>
  <c r="O92" i="3"/>
  <c r="J92" i="3"/>
  <c r="I92" i="3"/>
  <c r="Q91" i="3"/>
  <c r="P91" i="3"/>
  <c r="O91" i="3"/>
  <c r="J91" i="3"/>
  <c r="I91" i="3"/>
  <c r="Q90" i="3"/>
  <c r="P90" i="3"/>
  <c r="O90" i="3"/>
  <c r="J90" i="3"/>
  <c r="I90" i="3"/>
  <c r="Q89" i="3"/>
  <c r="P89" i="3"/>
  <c r="O89" i="3"/>
  <c r="J89" i="3"/>
  <c r="I89" i="3"/>
  <c r="Q88" i="3"/>
  <c r="P88" i="3"/>
  <c r="O88" i="3"/>
  <c r="J88" i="3"/>
  <c r="I88" i="3"/>
  <c r="Q87" i="3"/>
  <c r="P87" i="3"/>
  <c r="O87" i="3"/>
  <c r="J87" i="3"/>
  <c r="I87" i="3"/>
  <c r="Q86" i="3"/>
  <c r="P86" i="3"/>
  <c r="O86" i="3"/>
  <c r="J86" i="3"/>
  <c r="I86" i="3"/>
  <c r="Q85" i="3"/>
  <c r="P85" i="3"/>
  <c r="O85" i="3"/>
  <c r="J85" i="3"/>
  <c r="I85" i="3"/>
  <c r="Q84" i="3"/>
  <c r="P84" i="3"/>
  <c r="O84" i="3"/>
  <c r="J84" i="3"/>
  <c r="I84" i="3"/>
  <c r="Q83" i="3"/>
  <c r="P83" i="3"/>
  <c r="O83" i="3"/>
  <c r="J83" i="3"/>
  <c r="I83" i="3"/>
  <c r="Q82" i="3"/>
  <c r="P82" i="3"/>
  <c r="O82" i="3"/>
  <c r="J82" i="3"/>
  <c r="I82" i="3"/>
  <c r="Q81" i="3"/>
  <c r="P81" i="3"/>
  <c r="O81" i="3"/>
  <c r="J81" i="3"/>
  <c r="I81" i="3"/>
  <c r="Q80" i="3"/>
  <c r="P80" i="3"/>
  <c r="O80" i="3"/>
  <c r="J80" i="3"/>
  <c r="I80" i="3"/>
  <c r="Q79" i="3"/>
  <c r="P79" i="3"/>
  <c r="O79" i="3"/>
  <c r="J79" i="3"/>
  <c r="I79" i="3"/>
  <c r="Q78" i="3"/>
  <c r="P78" i="3"/>
  <c r="O78" i="3"/>
  <c r="J78" i="3"/>
  <c r="I78" i="3"/>
  <c r="Q77" i="3"/>
  <c r="P77" i="3"/>
  <c r="O77" i="3"/>
  <c r="J77" i="3"/>
  <c r="I77" i="3"/>
  <c r="Q76" i="3"/>
  <c r="P76" i="3"/>
  <c r="O76" i="3"/>
  <c r="J76" i="3"/>
  <c r="I76" i="3"/>
  <c r="Q75" i="3"/>
  <c r="P75" i="3"/>
  <c r="O75" i="3"/>
  <c r="J75" i="3"/>
  <c r="I75" i="3"/>
  <c r="Q74" i="3"/>
  <c r="P74" i="3"/>
  <c r="O74" i="3"/>
  <c r="J74" i="3"/>
  <c r="I74" i="3"/>
  <c r="Q73" i="3"/>
  <c r="P73" i="3"/>
  <c r="O73" i="3"/>
  <c r="J73" i="3"/>
  <c r="I73" i="3"/>
  <c r="Q72" i="3"/>
  <c r="P72" i="3"/>
  <c r="O72" i="3"/>
  <c r="J72" i="3"/>
  <c r="I72" i="3"/>
  <c r="Q71" i="3"/>
  <c r="P71" i="3"/>
  <c r="O71" i="3"/>
  <c r="J71" i="3"/>
  <c r="I71" i="3"/>
  <c r="Q70" i="3"/>
  <c r="P70" i="3"/>
  <c r="O70" i="3"/>
  <c r="J70" i="3"/>
  <c r="I70" i="3"/>
  <c r="Q69" i="3"/>
  <c r="P69" i="3"/>
  <c r="O69" i="3"/>
  <c r="J69" i="3"/>
  <c r="I69" i="3"/>
  <c r="Q68" i="3"/>
  <c r="P68" i="3"/>
  <c r="O68" i="3"/>
  <c r="J68" i="3"/>
  <c r="I68" i="3"/>
  <c r="Q67" i="3"/>
  <c r="P67" i="3"/>
  <c r="O67" i="3"/>
  <c r="J67" i="3"/>
  <c r="I67" i="3"/>
  <c r="Q66" i="3"/>
  <c r="P66" i="3"/>
  <c r="O66" i="3"/>
  <c r="J66" i="3"/>
  <c r="I66" i="3"/>
  <c r="Q65" i="3"/>
  <c r="P65" i="3"/>
  <c r="O65" i="3"/>
  <c r="J65" i="3"/>
  <c r="I65" i="3"/>
  <c r="Q64" i="3"/>
  <c r="P64" i="3"/>
  <c r="O64" i="3"/>
  <c r="J64" i="3"/>
  <c r="I64" i="3"/>
  <c r="Q63" i="3"/>
  <c r="P63" i="3"/>
  <c r="O63" i="3"/>
  <c r="J63" i="3"/>
  <c r="I63" i="3"/>
  <c r="Q62" i="3"/>
  <c r="P62" i="3"/>
  <c r="O62" i="3"/>
  <c r="J62" i="3"/>
  <c r="I62" i="3"/>
  <c r="Q61" i="3"/>
  <c r="P61" i="3"/>
  <c r="O61" i="3"/>
  <c r="J61" i="3"/>
  <c r="I61" i="3"/>
  <c r="Q60" i="3"/>
  <c r="P60" i="3"/>
  <c r="O60" i="3"/>
  <c r="J60" i="3"/>
  <c r="I60" i="3"/>
  <c r="Q59" i="3"/>
  <c r="P59" i="3"/>
  <c r="O59" i="3"/>
  <c r="J59" i="3"/>
  <c r="I59" i="3"/>
  <c r="Q58" i="3"/>
  <c r="P58" i="3"/>
  <c r="O58" i="3"/>
  <c r="J58" i="3"/>
  <c r="I58" i="3"/>
  <c r="Q57" i="3"/>
  <c r="P57" i="3"/>
  <c r="O57" i="3"/>
  <c r="J57" i="3"/>
  <c r="I57" i="3"/>
  <c r="Q56" i="3"/>
  <c r="P56" i="3"/>
  <c r="O56" i="3"/>
  <c r="J56" i="3"/>
  <c r="I56" i="3"/>
  <c r="Q55" i="3"/>
  <c r="P55" i="3"/>
  <c r="O55" i="3"/>
  <c r="J55" i="3"/>
  <c r="I55" i="3"/>
  <c r="Q54" i="3"/>
  <c r="P54" i="3"/>
  <c r="O54" i="3"/>
  <c r="J54" i="3"/>
  <c r="I54" i="3"/>
  <c r="Q53" i="3"/>
  <c r="P53" i="3"/>
  <c r="O53" i="3"/>
  <c r="J53" i="3"/>
  <c r="I53" i="3"/>
  <c r="Q52" i="3"/>
  <c r="P52" i="3"/>
  <c r="O52" i="3"/>
  <c r="J52" i="3"/>
  <c r="I52" i="3"/>
  <c r="Q51" i="3"/>
  <c r="P51" i="3"/>
  <c r="O51" i="3"/>
  <c r="J51" i="3"/>
  <c r="I51" i="3"/>
  <c r="Q50" i="3"/>
  <c r="P50" i="3"/>
  <c r="O50" i="3"/>
  <c r="J50" i="3"/>
  <c r="I50" i="3"/>
  <c r="Q49" i="3"/>
  <c r="P49" i="3"/>
  <c r="O49" i="3"/>
  <c r="J49" i="3"/>
  <c r="I49" i="3"/>
  <c r="Q48" i="3"/>
  <c r="P48" i="3"/>
  <c r="O48" i="3"/>
  <c r="J48" i="3"/>
  <c r="I48" i="3"/>
  <c r="Q47" i="3"/>
  <c r="P47" i="3"/>
  <c r="O47" i="3"/>
  <c r="J47" i="3"/>
  <c r="I47" i="3"/>
  <c r="Q46" i="3"/>
  <c r="P46" i="3"/>
  <c r="O46" i="3"/>
  <c r="J46" i="3"/>
  <c r="I46" i="3"/>
  <c r="Q45" i="3"/>
  <c r="P45" i="3"/>
  <c r="O45" i="3"/>
  <c r="J45" i="3"/>
  <c r="I45" i="3"/>
  <c r="Q44" i="3"/>
  <c r="P44" i="3"/>
  <c r="O44" i="3"/>
  <c r="J44" i="3"/>
  <c r="I44" i="3"/>
  <c r="Q43" i="3"/>
  <c r="P43" i="3"/>
  <c r="O43" i="3"/>
  <c r="J43" i="3"/>
  <c r="I43" i="3"/>
  <c r="Q42" i="3"/>
  <c r="P42" i="3"/>
  <c r="O42" i="3"/>
  <c r="J42" i="3"/>
  <c r="I42" i="3"/>
  <c r="Q41" i="3"/>
  <c r="P41" i="3"/>
  <c r="O41" i="3"/>
  <c r="J41" i="3"/>
  <c r="I41" i="3"/>
  <c r="Q40" i="3"/>
  <c r="P40" i="3"/>
  <c r="O40" i="3"/>
  <c r="J40" i="3"/>
  <c r="I40" i="3"/>
  <c r="Q39" i="3"/>
  <c r="P39" i="3"/>
  <c r="O39" i="3"/>
  <c r="J39" i="3"/>
  <c r="I39" i="3"/>
  <c r="Q38" i="3"/>
  <c r="P38" i="3"/>
  <c r="O38" i="3"/>
  <c r="J38" i="3"/>
  <c r="I38" i="3"/>
  <c r="Q37" i="3"/>
  <c r="P37" i="3"/>
  <c r="O37" i="3"/>
  <c r="J37" i="3"/>
  <c r="I37" i="3"/>
  <c r="Q36" i="3"/>
  <c r="P36" i="3"/>
  <c r="O36" i="3"/>
  <c r="J36" i="3"/>
  <c r="I36" i="3"/>
  <c r="Q35" i="3"/>
  <c r="P35" i="3"/>
  <c r="O35" i="3"/>
  <c r="J35" i="3"/>
  <c r="I35" i="3"/>
  <c r="Q34" i="3"/>
  <c r="P34" i="3"/>
  <c r="O34" i="3"/>
  <c r="J34" i="3"/>
  <c r="I34" i="3"/>
  <c r="Q33" i="3"/>
  <c r="P33" i="3"/>
  <c r="O33" i="3"/>
  <c r="J33" i="3"/>
  <c r="I33" i="3"/>
  <c r="Q32" i="3"/>
  <c r="P32" i="3"/>
  <c r="O32" i="3"/>
  <c r="J32" i="3"/>
  <c r="I32" i="3"/>
  <c r="Q31" i="3"/>
  <c r="P31" i="3"/>
  <c r="O31" i="3"/>
  <c r="J31" i="3"/>
  <c r="I31" i="3"/>
  <c r="Q30" i="3"/>
  <c r="P30" i="3"/>
  <c r="O30" i="3"/>
  <c r="J30" i="3"/>
  <c r="I30" i="3"/>
  <c r="Q29" i="3"/>
  <c r="P29" i="3"/>
  <c r="O29" i="3"/>
  <c r="J29" i="3"/>
  <c r="I29" i="3"/>
  <c r="Q28" i="3"/>
  <c r="P28" i="3"/>
  <c r="O28" i="3"/>
  <c r="J28" i="3"/>
  <c r="I28" i="3"/>
  <c r="Q27" i="3"/>
  <c r="P27" i="3"/>
  <c r="O27" i="3"/>
  <c r="J27" i="3"/>
  <c r="I27" i="3"/>
  <c r="Q26" i="3"/>
  <c r="P26" i="3"/>
  <c r="O26" i="3"/>
  <c r="J26" i="3"/>
  <c r="I26" i="3"/>
  <c r="Q25" i="3"/>
  <c r="P25" i="3"/>
  <c r="O25" i="3"/>
  <c r="J25" i="3"/>
  <c r="I25" i="3"/>
  <c r="Q24" i="3"/>
  <c r="P24" i="3"/>
  <c r="O24" i="3"/>
  <c r="J24" i="3"/>
  <c r="I24" i="3"/>
  <c r="Q23" i="3"/>
  <c r="P23" i="3"/>
  <c r="O23" i="3"/>
  <c r="J23" i="3"/>
  <c r="I23" i="3"/>
  <c r="Q22" i="3"/>
  <c r="P22" i="3"/>
  <c r="O22" i="3"/>
  <c r="J22" i="3"/>
  <c r="I22" i="3"/>
  <c r="Q21" i="3"/>
  <c r="P21" i="3"/>
  <c r="O21" i="3"/>
  <c r="J21" i="3"/>
  <c r="I21" i="3"/>
  <c r="Q20" i="3"/>
  <c r="P20" i="3"/>
  <c r="O20" i="3"/>
  <c r="J20" i="3"/>
  <c r="I20" i="3"/>
  <c r="Q19" i="3"/>
  <c r="P19" i="3"/>
  <c r="O19" i="3"/>
  <c r="J19" i="3"/>
  <c r="I19" i="3"/>
  <c r="Q18" i="3"/>
  <c r="P18" i="3"/>
  <c r="O18" i="3"/>
  <c r="J18" i="3"/>
  <c r="I18" i="3"/>
  <c r="Q17" i="3"/>
  <c r="P17" i="3"/>
  <c r="O17" i="3"/>
  <c r="J17" i="3"/>
  <c r="I17" i="3"/>
  <c r="Q16" i="3"/>
  <c r="P16" i="3"/>
  <c r="O16" i="3"/>
  <c r="J16" i="3"/>
  <c r="I16" i="3"/>
  <c r="Q15" i="3"/>
  <c r="P15" i="3"/>
  <c r="O15" i="3"/>
  <c r="J15" i="3"/>
  <c r="I15" i="3"/>
  <c r="Q14" i="3"/>
  <c r="P14" i="3"/>
  <c r="O14" i="3"/>
  <c r="J14" i="3"/>
  <c r="I14" i="3"/>
  <c r="Q13" i="3"/>
  <c r="P13" i="3"/>
  <c r="O13" i="3"/>
  <c r="J13" i="3"/>
  <c r="I13" i="3"/>
  <c r="Q12" i="3"/>
  <c r="P12" i="3"/>
  <c r="O12" i="3"/>
  <c r="J12" i="3"/>
  <c r="I12" i="3"/>
  <c r="Q11" i="3"/>
  <c r="P11" i="3"/>
  <c r="O11" i="3"/>
  <c r="J11" i="3"/>
  <c r="I11" i="3"/>
  <c r="Q10" i="3"/>
  <c r="P10" i="3"/>
  <c r="O10" i="3"/>
  <c r="J10" i="3"/>
  <c r="I10" i="3"/>
  <c r="Q9" i="3"/>
  <c r="P9" i="3"/>
  <c r="O9" i="3"/>
  <c r="J9" i="3"/>
  <c r="I9" i="3"/>
  <c r="Q8" i="3"/>
  <c r="P8" i="3"/>
  <c r="O8" i="3"/>
  <c r="J8" i="3"/>
  <c r="I8" i="3"/>
  <c r="P7" i="3"/>
  <c r="Q7" i="3" s="1"/>
  <c r="H11" i="2" s="1"/>
  <c r="O7" i="3"/>
  <c r="J7" i="3"/>
  <c r="I7" i="3"/>
  <c r="P6" i="3"/>
  <c r="Q6" i="3" s="1"/>
  <c r="H12" i="2" s="1"/>
  <c r="O6" i="3"/>
  <c r="J6" i="3"/>
  <c r="I6" i="3"/>
  <c r="Q5" i="3"/>
  <c r="P5" i="3"/>
  <c r="O5" i="3"/>
  <c r="J5" i="3"/>
  <c r="I5" i="3"/>
  <c r="Q4" i="3"/>
  <c r="P4" i="3"/>
  <c r="O4" i="3"/>
  <c r="J4" i="3"/>
  <c r="I4" i="3"/>
  <c r="P3" i="3"/>
  <c r="Q3" i="3" s="1"/>
  <c r="O3" i="3"/>
  <c r="B18" i="2" s="1"/>
  <c r="J3" i="3"/>
  <c r="I3" i="3"/>
  <c r="P2" i="3"/>
  <c r="Q2" i="3" s="1"/>
  <c r="O2" i="3"/>
  <c r="J2" i="3"/>
  <c r="I2" i="3"/>
  <c r="H13" i="2"/>
  <c r="F13" i="2"/>
  <c r="G13" i="2" s="1"/>
  <c r="F12" i="2"/>
  <c r="G12" i="2" s="1"/>
  <c r="B12" i="2"/>
  <c r="F11" i="2"/>
  <c r="G11" i="2" s="1"/>
  <c r="H10" i="2"/>
  <c r="F10" i="2"/>
  <c r="G10" i="2" s="1"/>
  <c r="F9" i="2"/>
  <c r="F8" i="2"/>
  <c r="C5" i="4" l="1"/>
  <c r="D5" i="4" s="1"/>
  <c r="D6" i="4" s="1"/>
  <c r="H8" i="2"/>
  <c r="B6" i="2"/>
  <c r="B15" i="2"/>
  <c r="G8" i="2"/>
  <c r="B9" i="5"/>
  <c r="J6" i="5" s="1"/>
  <c r="B9" i="2"/>
  <c r="G9" i="2"/>
  <c r="H9" i="2"/>
  <c r="E5" i="4" l="1"/>
  <c r="F5" i="4" s="1"/>
  <c r="C6" i="4"/>
  <c r="E6" i="4" l="1"/>
  <c r="F6" i="4"/>
  <c r="G5" i="4"/>
  <c r="H5" i="4" l="1"/>
  <c r="G6" i="4"/>
  <c r="B7" i="4" l="1"/>
  <c r="H6" i="4"/>
  <c r="C7" i="4" l="1"/>
  <c r="B8" i="4"/>
  <c r="D7" i="4" l="1"/>
  <c r="C8" i="4"/>
  <c r="E7" i="4" l="1"/>
  <c r="D8" i="4"/>
  <c r="E8" i="4" l="1"/>
  <c r="F7" i="4"/>
  <c r="G7" i="4" l="1"/>
  <c r="F8" i="4"/>
  <c r="H7" i="4" l="1"/>
  <c r="G8" i="4"/>
  <c r="H8" i="4" l="1"/>
  <c r="B9" i="4"/>
  <c r="B10" i="4" l="1"/>
  <c r="C9" i="4"/>
  <c r="D9" i="4" l="1"/>
  <c r="C10" i="4"/>
  <c r="E9" i="4" l="1"/>
  <c r="D10" i="4"/>
  <c r="F9" i="4" l="1"/>
  <c r="E10" i="4"/>
  <c r="G9" i="4" l="1"/>
  <c r="F10" i="4"/>
  <c r="G10" i="4" l="1"/>
  <c r="H9" i="4"/>
  <c r="H10" i="4" l="1"/>
  <c r="B11" i="4"/>
  <c r="C11" i="4" l="1"/>
  <c r="B12" i="4"/>
  <c r="D11" i="4" l="1"/>
  <c r="C12" i="4"/>
  <c r="D12" i="4" l="1"/>
  <c r="E11" i="4"/>
  <c r="F11" i="4" l="1"/>
  <c r="E12" i="4"/>
  <c r="G11" i="4" l="1"/>
  <c r="F12" i="4"/>
  <c r="H11" i="4" l="1"/>
  <c r="G12" i="4"/>
  <c r="B13" i="4" l="1"/>
  <c r="H12" i="4"/>
  <c r="C13" i="4" l="1"/>
  <c r="B14" i="4"/>
  <c r="D13" i="4" l="1"/>
  <c r="C14" i="4"/>
  <c r="E13" i="4" l="1"/>
  <c r="D14" i="4"/>
  <c r="F13" i="4" l="1"/>
  <c r="E14" i="4"/>
  <c r="F14" i="4" l="1"/>
  <c r="G13" i="4"/>
  <c r="H13" i="4" l="1"/>
  <c r="H14" i="4" s="1"/>
  <c r="G14" i="4"/>
  <c r="I5" i="4" l="1"/>
</calcChain>
</file>

<file path=xl/sharedStrings.xml><?xml version="1.0" encoding="utf-8"?>
<sst xmlns="http://schemas.openxmlformats.org/spreadsheetml/2006/main" count="119" uniqueCount="94">
  <si>
    <t>TRADING JOURNAL SETTINGS</t>
  </si>
  <si>
    <t>Stock Commission (per share)</t>
  </si>
  <si>
    <t>Option Commission (per contract)</t>
  </si>
  <si>
    <t>TRADING PERFORMANCE DASHBOARD</t>
  </si>
  <si>
    <t>Real-time updates dynamically computed from your Trade Log sheet</t>
  </si>
  <si>
    <t>TOTAL NET PROFIT</t>
  </si>
  <si>
    <t>PSYCHOLOGICAL PERFORMANCE BREAKDOWN</t>
  </si>
  <si>
    <t>Pre-Trade Emotion</t>
  </si>
  <si>
    <t>Trades Count</t>
  </si>
  <si>
    <t>Win Rate</t>
  </si>
  <si>
    <t>Total P&amp;L</t>
  </si>
  <si>
    <t>WIN RATE</t>
  </si>
  <si>
    <t>Calm</t>
  </si>
  <si>
    <t>FOMO</t>
  </si>
  <si>
    <t>Greed</t>
  </si>
  <si>
    <t>TOTAL TRADES</t>
  </si>
  <si>
    <t>Fear</t>
  </si>
  <si>
    <t>Stressed</t>
  </si>
  <si>
    <t>Neutral</t>
  </si>
  <si>
    <t>PROFIT FACTOR</t>
  </si>
  <si>
    <t>AVG RISK-REWARD RATIO</t>
  </si>
  <si>
    <t>Entry Date</t>
  </si>
  <si>
    <t>Exit Date</t>
  </si>
  <si>
    <t>Asset Class</t>
  </si>
  <si>
    <t>Ticker</t>
  </si>
  <si>
    <t>Direction</t>
  </si>
  <si>
    <t>Option Strategy</t>
  </si>
  <si>
    <t>Strike Price(s)</t>
  </si>
  <si>
    <t>Expiry Date</t>
  </si>
  <si>
    <t>Days in Trade</t>
  </si>
  <si>
    <t>Days to Expiry</t>
  </si>
  <si>
    <t>Quantity</t>
  </si>
  <si>
    <t>Entry Price</t>
  </si>
  <si>
    <t>Stop Loss</t>
  </si>
  <si>
    <t>Exit Price</t>
  </si>
  <si>
    <t>Risk-Reward Ratio</t>
  </si>
  <si>
    <t>Fees &amp; Comm.</t>
  </si>
  <si>
    <t>Net P&amp;L</t>
  </si>
  <si>
    <t>Emotion Pre</t>
  </si>
  <si>
    <t>Emotion Post</t>
  </si>
  <si>
    <t>Setup Reason</t>
  </si>
  <si>
    <t>Notes</t>
  </si>
  <si>
    <t>Stock</t>
  </si>
  <si>
    <t>AAPL</t>
  </si>
  <si>
    <t>Buy/Long</t>
  </si>
  <si>
    <t>N/A</t>
  </si>
  <si>
    <t/>
  </si>
  <si>
    <t>Breakout</t>
  </si>
  <si>
    <t>Perfect textbook breakout of the 50 DMA.</t>
  </si>
  <si>
    <t>Option</t>
  </si>
  <si>
    <t>TSLA</t>
  </si>
  <si>
    <t>Single Option</t>
  </si>
  <si>
    <t>220 Call</t>
  </si>
  <si>
    <t>Trend Following</t>
  </si>
  <si>
    <t>Surged up. Chased slightly due to FOMO.</t>
  </si>
  <si>
    <t>SPY</t>
  </si>
  <si>
    <t>Sell/Short</t>
  </si>
  <si>
    <t>Credit Spread</t>
  </si>
  <si>
    <t>510/505 Put Spread</t>
  </si>
  <si>
    <t>Support/Resistance</t>
  </si>
  <si>
    <t>Sold put credit spread at solid horizontal support. Worked perfectly.</t>
  </si>
  <si>
    <t>MSFT</t>
  </si>
  <si>
    <t>Debit Spread</t>
  </si>
  <si>
    <t>420/425 Call Spread</t>
  </si>
  <si>
    <t>Long term call debit spread capturing upward continuation.</t>
  </si>
  <si>
    <t>NVDA</t>
  </si>
  <si>
    <t>Calendar Spread</t>
  </si>
  <si>
    <t>920 Call</t>
  </si>
  <si>
    <t>News/Catalyst</t>
  </si>
  <si>
    <t>Traded pre-earnings calendar spread. Implied volatility crush arbitrage caused a solid loss.</t>
  </si>
  <si>
    <t>AMD</t>
  </si>
  <si>
    <t>FOMO (No Setup)</t>
  </si>
  <si>
    <t>Traded without clear setup feeling extremely anxious. Stop hit quickly causing solid loss.</t>
  </si>
  <si>
    <t>Sunday</t>
  </si>
  <si>
    <t>Monday</t>
  </si>
  <si>
    <t>Tuesday</t>
  </si>
  <si>
    <t>Wednesday</t>
  </si>
  <si>
    <t>Thursday</t>
  </si>
  <si>
    <t>Friday</t>
  </si>
  <si>
    <t>Saturday</t>
  </si>
  <si>
    <t>MONTH TOTAL P&amp;L</t>
  </si>
  <si>
    <t>JANUARY</t>
  </si>
  <si>
    <t>FEBRUARY</t>
  </si>
  <si>
    <t>MARCH</t>
  </si>
  <si>
    <t>APRIL</t>
  </si>
  <si>
    <t>YEAR TOTAL P&amp;L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</si>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</sst>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0"/>
    <numFmt numFmtId="165" formatCode="\$#,##0.00"/>
    <numFmt numFmtId="166" formatCode="\$#,##0.00;\(\$#,##0.00\);&quot;-&quot;"/>
    <numFmt numFmtId="167" formatCode="0.0%"/>
    <numFmt numFmtId="168" formatCode="yyyy\-mm\-dd\ hh:mm"/>
    <numFmt numFmtId="169" formatCode="yyyy\-mm\-dd"/>
    <numFmt numFmtId="170" formatCode="d"/>
    <numFmt numFmtId="171" formatCode="\$#,##0;\(\$#,##0\);&quot;-&quot;"/>
  </numFmts>
  <fonts count="14">
    <font>
      <sz val="11"/>
      <color theme="1"/>
      <name val="Calibri"/>
      <family val="2"/>
      <scheme val="minor"/>
    </font>
    <font>
      <b/>
      <sz val="14"/>
      <color rgb="FF1E293B"/>
      <name val="Segoe UI"/>
    </font>
    <font>
      <b/>
      <sz val="10"/>
      <name val="Segoe UI"/>
    </font>
    <font>
      <sz val="10"/>
      <name val="Segoe UI"/>
    </font>
    <font>
      <b/>
      <sz val="18"/>
      <color rgb="FFFFFFFF"/>
      <name val="Segoe UI"/>
    </font>
    <font>
      <i/>
      <sz val="10"/>
      <color rgb="FF94A3B8"/>
      <name val="Segoe UI"/>
    </font>
    <font>
      <b/>
      <sz val="9"/>
      <color rgb="FF94A3B8"/>
      <name val="Segoe UI"/>
    </font>
    <font>
      <b/>
      <sz val="11"/>
      <color rgb="FF1E293B"/>
      <name val="Segoe UI"/>
    </font>
    <font>
      <b/>
      <sz val="18"/>
      <color rgb="FF10B981"/>
      <name val="Segoe UI"/>
    </font>
    <font>
      <b/>
      <sz val="9"/>
      <color rgb="FFFFFFFF"/>
      <name val="Segoe UI"/>
    </font>
    <font>
      <b/>
      <sz val="18"/>
      <color rgb="FFF8FAFC"/>
      <name val="Segoe UI"/>
    </font>
    <font>
      <b/>
      <sz val="10"/>
      <color rgb="FFFFFFFF"/>
      <name val="Segoe UI"/>
    </font>
    <font>
      <b/>
      <sz val="9"/>
      <color rgb="FF475569"/>
      <name val="Segoe UI"/>
    </font>
    <font>
      <b/>
      <sz val="12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F51B5"/>
      </patternFill>
    </fill>
    <fill>
      <patternFill patternType="solid">
        <fgColor rgb="FF009688"/>
      </patternFill>
    </fill>
    <fill>
      <patternFill patternType="solid">
        <fgColor rgb="FF0288D1"/>
      </patternFill>
    </fill>
    <fill>
      <patternFill patternType="solid">
        <fgColor rgb="FF2E7D32"/>
      </patternFill>
    </fill>
    <fill>
      <patternFill patternType="solid">
        <fgColor rgb="FF9C27B0"/>
      </patternFill>
    </fill>
    <fill>
      <patternFill patternType="solid">
        <fgColor rgb="FFF1F5F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166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67" fontId="3" fillId="0" borderId="0" xfId="0" applyNumberFormat="1" applyFont="1"/>
    <xf numFmtId="166" fontId="2" fillId="0" borderId="0" xfId="0" applyNumberFormat="1" applyFont="1"/>
    <xf numFmtId="167" fontId="10" fillId="2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8" fontId="3" fillId="0" borderId="0" xfId="0" applyNumberFormat="1" applyFont="1"/>
    <xf numFmtId="4" fontId="3" fillId="0" borderId="0" xfId="0" applyNumberFormat="1" applyFont="1" applyAlignment="1">
      <alignment horizontal="center"/>
    </xf>
    <xf numFmtId="166" fontId="3" fillId="0" borderId="0" xfId="0" applyNumberFormat="1" applyFont="1"/>
    <xf numFmtId="169" fontId="3" fillId="0" borderId="0" xfId="0" applyNumberFormat="1" applyFont="1"/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11" fillId="2" borderId="0" xfId="0" applyFont="1" applyFill="1" applyAlignment="1">
      <alignment horizontal="center"/>
    </xf>
    <xf numFmtId="170" fontId="12" fillId="8" borderId="1" xfId="0" applyNumberFormat="1" applyFont="1" applyFill="1" applyBorder="1" applyAlignment="1">
      <alignment horizontal="left"/>
    </xf>
    <xf numFmtId="171" fontId="2" fillId="9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66" fontId="13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color rgb="FFFFFFFF"/>
      </font>
      <fill>
        <patternFill patternType="solid">
          <fgColor rgb="FF991B1B"/>
          <bgColor rgb="FF991B1B"/>
        </patternFill>
      </fill>
    </dxf>
    <dxf>
      <font>
        <b/>
        <color rgb="FF000000"/>
      </font>
      <fill>
        <patternFill patternType="solid">
          <fgColor rgb="FFD1FAE5"/>
          <bgColor rgb="FFD1FAE5"/>
        </patternFill>
      </fill>
    </dxf>
    <dxf>
      <font>
        <b/>
        <color rgb="FFFFFFFF"/>
      </font>
      <fill>
        <patternFill patternType="solid">
          <fgColor rgb="FF991B1B"/>
          <bgColor rgb="FF991B1B"/>
        </patternFill>
      </fill>
    </dxf>
    <dxf>
      <font>
        <b/>
        <color rgb="FF000000"/>
      </font>
      <fill>
        <patternFill patternType="solid">
          <fgColor rgb="FFD1FAE5"/>
          <bgColor rgb="FFD1FAE5"/>
        </patternFill>
      </fill>
    </dxf>
    <dxf>
      <font>
        <b/>
        <color rgb="FFFFFFFF"/>
      </font>
      <fill>
        <patternFill patternType="solid">
          <fgColor rgb="FF991B1B"/>
          <bgColor rgb="FF991B1B"/>
        </patternFill>
      </fill>
    </dxf>
    <dxf>
      <font>
        <b/>
        <color rgb="FF000000"/>
      </font>
      <fill>
        <patternFill patternType="solid">
          <fgColor rgb="FFD1FAE5"/>
          <bgColor rgb="FFD1FAE5"/>
        </patternFill>
      </fill>
    </dxf>
    <dxf>
      <font>
        <b/>
        <color rgb="FFFFFFFF"/>
      </font>
      <fill>
        <patternFill patternType="solid">
          <fgColor rgb="FF991B1B"/>
          <bgColor rgb="FF991B1B"/>
        </patternFill>
      </fill>
    </dxf>
    <dxf>
      <font>
        <b/>
        <color rgb="FF000000"/>
      </font>
      <fill>
        <patternFill patternType="solid">
          <fgColor rgb="FFD1FAE5"/>
          <bgColor rgb="FFD1FAE5"/>
        </patternFill>
      </fill>
    </dxf>
    <dxf>
      <font>
        <b/>
        <color rgb="FFFFFFFF"/>
      </font>
      <fill>
        <patternFill patternType="solid">
          <fgColor rgb="FF991B1B"/>
          <bgColor rgb="FF991B1B"/>
        </patternFill>
      </fill>
    </dxf>
    <dxf>
      <font>
        <b/>
        <color rgb="FF000000"/>
      </font>
      <fill>
        <patternFill patternType="solid">
          <fgColor rgb="FFD1FAE5"/>
          <bgColor rgb="FFD1FAE5"/>
        </patternFill>
      </fill>
    </dxf>
    <dxf>
      <font>
        <b/>
        <color rgb="FFFFFFFF"/>
      </font>
      <fill>
        <patternFill patternType="solid">
          <fgColor rgb="FF991B1B"/>
          <bgColor rgb="FF991B1B"/>
        </patternFill>
      </fill>
    </dxf>
    <dxf>
      <font>
        <b/>
        <color rgb="FF000000"/>
      </font>
      <fill>
        <patternFill patternType="solid">
          <fgColor rgb="FFD1FAE5"/>
          <bgColor rgb="FFD1FAE5"/>
        </patternFill>
      </fill>
    </dxf>
    <dxf>
      <font>
        <b/>
        <color rgb="FFFFFFFF"/>
      </font>
      <fill>
        <patternFill patternType="solid">
          <fgColor rgb="FF991B1B"/>
          <bgColor rgb="FF991B1B"/>
        </patternFill>
      </fill>
    </dxf>
    <dxf>
      <font>
        <b/>
        <color rgb="FF000000"/>
      </font>
      <fill>
        <patternFill patternType="solid">
          <fgColor rgb="FFD1FAE5"/>
          <bgColor rgb="FFD1FAE5"/>
        </patternFill>
      </fill>
    </dxf>
    <dxf>
      <font>
        <b/>
        <color rgb="FFFFFFFF"/>
      </font>
      <fill>
        <patternFill patternType="solid">
          <fgColor rgb="FF991B1B"/>
          <bgColor rgb="FF991B1B"/>
        </patternFill>
      </fill>
    </dxf>
    <dxf>
      <font>
        <b/>
        <color rgb="FF000000"/>
      </font>
      <fill>
        <patternFill patternType="solid">
          <fgColor rgb="FFD1FAE5"/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"/>
  <sheetViews>
    <sheetView workbookViewId="0"/>
  </sheetViews>
  <sheetFormatPr defaultRowHeight="14.4"/>
  <cols>
    <col min="1" max="1" width="13" customWidth="1"/>
    <col min="2" max="2" width="36" customWidth="1"/>
    <col min="3" max="3" width="13" customWidth="1"/>
  </cols>
  <sheetData>
    <row r="2" spans="2:3" ht="20.399999999999999">
      <c r="B2" s="1" t="s">
        <v>0</v>
      </c>
    </row>
    <row r="4" spans="2:3" ht="15">
      <c r="B4" s="2" t="s">
        <v>1</v>
      </c>
      <c r="C4" s="3">
        <v>0</v>
      </c>
    </row>
    <row r="5" spans="2:3" ht="15">
      <c r="B5" s="2" t="s">
        <v>2</v>
      </c>
      <c r="C5" s="4">
        <v>0.65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8"/>
  <sheetViews>
    <sheetView workbookViewId="0"/>
  </sheetViews>
  <sheetFormatPr defaultRowHeight="14.4"/>
  <cols>
    <col min="1" max="1" width="13" customWidth="1"/>
    <col min="2" max="2" width="25" customWidth="1"/>
    <col min="3" max="4" width="13" customWidth="1"/>
    <col min="5" max="5" width="20" customWidth="1"/>
    <col min="6" max="7" width="15" customWidth="1"/>
    <col min="8" max="8" width="20" customWidth="1"/>
  </cols>
  <sheetData>
    <row r="2" spans="2:8" ht="27">
      <c r="B2" s="5" t="s">
        <v>3</v>
      </c>
    </row>
    <row r="3" spans="2:8" ht="15">
      <c r="B3" s="6" t="s">
        <v>4</v>
      </c>
    </row>
    <row r="5" spans="2:8" ht="16.8">
      <c r="B5" s="7" t="s">
        <v>5</v>
      </c>
      <c r="E5" s="8" t="s">
        <v>6</v>
      </c>
    </row>
    <row r="6" spans="2:8" ht="27">
      <c r="B6" s="9">
        <f>SUM('Trade Log'!Q:Q)</f>
        <v>1961.3499999999985</v>
      </c>
    </row>
    <row r="7" spans="2:8">
      <c r="E7" s="10" t="s">
        <v>7</v>
      </c>
      <c r="F7" s="10" t="s">
        <v>8</v>
      </c>
      <c r="G7" s="10" t="s">
        <v>9</v>
      </c>
      <c r="H7" s="10" t="s">
        <v>10</v>
      </c>
    </row>
    <row r="8" spans="2:8" ht="15">
      <c r="B8" s="7" t="s">
        <v>11</v>
      </c>
      <c r="E8" s="11" t="s">
        <v>12</v>
      </c>
      <c r="F8" s="12">
        <f>COUNTIF('Trade Log'!R:R, "Calm")</f>
        <v>3</v>
      </c>
      <c r="G8" s="13">
        <f>IF(F8&gt;0, COUNTIFS('Trade Log'!R:R, "Calm", 'Trade Log'!Q:Q, "&gt;0") / F8, 0)</f>
        <v>1</v>
      </c>
      <c r="H8" s="14">
        <f>SUMIF('Trade Log'!R:R, "Calm", 'Trade Log'!Q:Q)</f>
        <v>1980.8999999999987</v>
      </c>
    </row>
    <row r="9" spans="2:8" ht="27">
      <c r="B9" s="15">
        <f>IF(COUNTA('Trade Log'!D:D)-1&gt;0, COUNTIF('Trade Log'!Q:Q,"&gt;0") / (COUNTIF('Trade Log'!Q:Q,"&gt;0") + COUNTIF('Trade Log'!Q:Q,"&lt;0")), 0)</f>
        <v>0.66666666666666663</v>
      </c>
      <c r="E9" s="11" t="s">
        <v>13</v>
      </c>
      <c r="F9" s="12">
        <f>COUNTIF('Trade Log'!R:R, "FOMO")</f>
        <v>1</v>
      </c>
      <c r="G9" s="13">
        <f>IF(F9&gt;0, COUNTIFS('Trade Log'!R:R, "FOMO", 'Trade Log'!Q:Q, "&gt;0") / F9, 0)</f>
        <v>1</v>
      </c>
      <c r="H9" s="14">
        <f>SUMIF('Trade Log'!R:R, "FOMO", 'Trade Log'!Q:Q)</f>
        <v>846.75</v>
      </c>
    </row>
    <row r="10" spans="2:8" ht="15">
      <c r="E10" s="11" t="s">
        <v>14</v>
      </c>
      <c r="F10" s="12">
        <f>COUNTIF('Trade Log'!R:R, "Greed")</f>
        <v>0</v>
      </c>
      <c r="G10" s="13">
        <f>IF(F10&gt;0, COUNTIFS('Trade Log'!R:R, "Greed", 'Trade Log'!Q:Q, "&gt;0") / F10, 0)</f>
        <v>0</v>
      </c>
      <c r="H10" s="14">
        <f>SUMIF('Trade Log'!R:R, "Greed", 'Trade Log'!Q:Q)</f>
        <v>0</v>
      </c>
    </row>
    <row r="11" spans="2:8" ht="15">
      <c r="B11" s="7" t="s">
        <v>15</v>
      </c>
      <c r="E11" s="11" t="s">
        <v>16</v>
      </c>
      <c r="F11" s="12">
        <f>COUNTIF('Trade Log'!R:R, "Fear")</f>
        <v>1</v>
      </c>
      <c r="G11" s="13">
        <f>IF(F11&gt;0, COUNTIFS('Trade Log'!R:R, "Fear", 'Trade Log'!Q:Q, "&gt;0") / F11, 0)</f>
        <v>0</v>
      </c>
      <c r="H11" s="14">
        <f>SUMIF('Trade Log'!R:R, "Fear", 'Trade Log'!Q:Q)</f>
        <v>-325</v>
      </c>
    </row>
    <row r="12" spans="2:8" ht="27">
      <c r="B12" s="16">
        <f>COUNTA('Trade Log'!D:D)-1</f>
        <v>6</v>
      </c>
      <c r="E12" s="11" t="s">
        <v>17</v>
      </c>
      <c r="F12" s="12">
        <f>COUNTIF('Trade Log'!R:R, "Stressed")</f>
        <v>1</v>
      </c>
      <c r="G12" s="13">
        <f>IF(F12&gt;0, COUNTIFS('Trade Log'!R:R, "Stressed", 'Trade Log'!Q:Q, "&gt;0") / F12, 0)</f>
        <v>0</v>
      </c>
      <c r="H12" s="14">
        <f>SUMIF('Trade Log'!R:R, "Stressed", 'Trade Log'!Q:Q)</f>
        <v>-541.29999999999995</v>
      </c>
    </row>
    <row r="13" spans="2:8" ht="15">
      <c r="E13" s="11" t="s">
        <v>18</v>
      </c>
      <c r="F13" s="12">
        <f>COUNTIF('Trade Log'!R:R, "Neutral")</f>
        <v>0</v>
      </c>
      <c r="G13" s="13">
        <f>IF(F13&gt;0, COUNTIFS('Trade Log'!R:R, "Neutral", 'Trade Log'!Q:Q, "&gt;0") / F13, 0)</f>
        <v>0</v>
      </c>
      <c r="H13" s="14">
        <f>SUMIF('Trade Log'!R:R, "Neutral", 'Trade Log'!Q:Q)</f>
        <v>0</v>
      </c>
    </row>
    <row r="14" spans="2:8">
      <c r="B14" s="7" t="s">
        <v>19</v>
      </c>
    </row>
    <row r="15" spans="2:8" ht="27">
      <c r="B15" s="17">
        <f>IF(SUMIF('Trade Log'!Q:Q,"&lt;0")&lt;&gt;0, ABS(SUMIF('Trade Log'!Q:Q,"&gt;0") / SUMIF('Trade Log'!Q:Q,"&lt;0")), SUMIF('Trade Log'!Q:Q,"&gt;0"))</f>
        <v>3.2640540228558224</v>
      </c>
    </row>
    <row r="17" spans="2:2">
      <c r="B17" s="7" t="s">
        <v>20</v>
      </c>
    </row>
    <row r="18" spans="2:2" ht="27">
      <c r="B18" s="17">
        <f>AVERAGE('Trade Log'!O:O)</f>
        <v>2.1350000000000002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"/>
  <sheetViews>
    <sheetView tabSelected="1" workbookViewId="0">
      <selection activeCell="H14" sqref="H14"/>
    </sheetView>
  </sheetViews>
  <sheetFormatPr defaultRowHeight="14.4"/>
  <cols>
    <col min="1" max="2" width="15.6640625" bestFit="1" customWidth="1"/>
    <col min="3" max="3" width="9.6640625" bestFit="1" customWidth="1"/>
    <col min="4" max="4" width="6.21875" bestFit="1" customWidth="1"/>
    <col min="5" max="5" width="9.21875" bestFit="1" customWidth="1"/>
    <col min="6" max="6" width="15.109375" bestFit="1" customWidth="1"/>
    <col min="7" max="7" width="18.109375" bestFit="1" customWidth="1"/>
    <col min="8" max="8" width="10.5546875" bestFit="1" customWidth="1"/>
    <col min="9" max="9" width="11.5546875" bestFit="1" customWidth="1"/>
    <col min="10" max="10" width="12.109375" bestFit="1" customWidth="1"/>
    <col min="11" max="11" width="7.77734375" bestFit="1" customWidth="1"/>
    <col min="12" max="12" width="9.33203125" bestFit="1" customWidth="1"/>
    <col min="13" max="13" width="8.44140625" bestFit="1" customWidth="1"/>
    <col min="14" max="14" width="8.109375" bestFit="1" customWidth="1"/>
    <col min="15" max="15" width="15.44140625" bestFit="1" customWidth="1"/>
    <col min="16" max="16" width="12.33203125" bestFit="1" customWidth="1"/>
    <col min="17" max="17" width="8.5546875" bestFit="1" customWidth="1"/>
    <col min="18" max="18" width="10.5546875" bestFit="1" customWidth="1"/>
    <col min="19" max="19" width="11.44140625" bestFit="1" customWidth="1"/>
    <col min="20" max="20" width="17.5546875" bestFit="1" customWidth="1"/>
    <col min="21" max="21" width="78.88671875" bestFit="1" customWidth="1"/>
  </cols>
  <sheetData>
    <row r="1" spans="1:21" ht="28.05" customHeight="1">
      <c r="A1" s="18" t="s">
        <v>21</v>
      </c>
      <c r="B1" s="18" t="s">
        <v>22</v>
      </c>
      <c r="C1" s="18" t="s">
        <v>23</v>
      </c>
      <c r="D1" s="18" t="s">
        <v>24</v>
      </c>
      <c r="E1" s="18" t="s">
        <v>25</v>
      </c>
      <c r="F1" s="18" t="s">
        <v>26</v>
      </c>
      <c r="G1" s="18" t="s">
        <v>27</v>
      </c>
      <c r="H1" s="18" t="s">
        <v>28</v>
      </c>
      <c r="I1" s="19" t="s">
        <v>29</v>
      </c>
      <c r="J1" s="19" t="s">
        <v>30</v>
      </c>
      <c r="K1" s="20" t="s">
        <v>31</v>
      </c>
      <c r="L1" s="20" t="s">
        <v>32</v>
      </c>
      <c r="M1" s="20" t="s">
        <v>33</v>
      </c>
      <c r="N1" s="20" t="s">
        <v>34</v>
      </c>
      <c r="O1" s="21" t="s">
        <v>35</v>
      </c>
      <c r="P1" s="21" t="s">
        <v>36</v>
      </c>
      <c r="Q1" s="21" t="s">
        <v>37</v>
      </c>
      <c r="R1" s="22" t="s">
        <v>38</v>
      </c>
      <c r="S1" s="22" t="s">
        <v>39</v>
      </c>
      <c r="T1" s="22" t="s">
        <v>40</v>
      </c>
      <c r="U1" s="22" t="s">
        <v>41</v>
      </c>
    </row>
    <row r="2" spans="1:21" ht="15">
      <c r="A2" s="23">
        <v>46152.604166666672</v>
      </c>
      <c r="B2" s="23">
        <v>46157.833333333328</v>
      </c>
      <c r="C2" s="11" t="s">
        <v>42</v>
      </c>
      <c r="D2" s="11" t="s">
        <v>43</v>
      </c>
      <c r="E2" s="11" t="s">
        <v>44</v>
      </c>
      <c r="F2" s="11" t="s">
        <v>45</v>
      </c>
      <c r="G2" s="11" t="s">
        <v>46</v>
      </c>
      <c r="H2" s="11" t="s">
        <v>46</v>
      </c>
      <c r="I2" s="24">
        <f t="shared" ref="I2:I33" si="0">IF(OR(A2="", B2=""), "", INT(B2-A2))</f>
        <v>5</v>
      </c>
      <c r="J2" s="24" t="str">
        <f t="shared" ref="J2:J33" si="1">IF(OR(A2="", H2=""), "", INT(H2-A2))</f>
        <v/>
      </c>
      <c r="K2" s="12">
        <v>100</v>
      </c>
      <c r="L2" s="25">
        <v>172.5</v>
      </c>
      <c r="M2" s="25">
        <v>170</v>
      </c>
      <c r="N2" s="25">
        <v>178.2</v>
      </c>
      <c r="O2" s="24">
        <f t="shared" ref="O2:O33" si="2">IF(OR(L2="", N2="", M2="", M2=L2), "", ROUND(ABS(N2-L2)/ABS(L2-M2), 2))</f>
        <v>2.2799999999999998</v>
      </c>
      <c r="P2" s="25">
        <f>IF(C2="Stock", Settings!$C$4 * K2, IF(C2="Option", Settings!$C$5 * K2, 0))</f>
        <v>0</v>
      </c>
      <c r="Q2" s="25">
        <f>IF(E2="Buy/Long", (N2-L2)*K2-P2, (L2-N2)*K2-P2)</f>
        <v>569.99999999999886</v>
      </c>
      <c r="R2" s="11" t="s">
        <v>12</v>
      </c>
      <c r="S2" s="11" t="s">
        <v>12</v>
      </c>
      <c r="T2" s="11" t="s">
        <v>47</v>
      </c>
      <c r="U2" s="11" t="s">
        <v>48</v>
      </c>
    </row>
    <row r="3" spans="1:21" ht="15">
      <c r="A3" s="23">
        <v>46154.760416666672</v>
      </c>
      <c r="B3" s="23">
        <v>46161.583333333328</v>
      </c>
      <c r="C3" s="11" t="s">
        <v>49</v>
      </c>
      <c r="D3" s="11" t="s">
        <v>50</v>
      </c>
      <c r="E3" s="11" t="s">
        <v>44</v>
      </c>
      <c r="F3" s="11" t="s">
        <v>51</v>
      </c>
      <c r="G3" s="11" t="s">
        <v>52</v>
      </c>
      <c r="H3" s="26">
        <v>46171.166666666672</v>
      </c>
      <c r="I3" s="24">
        <f t="shared" si="0"/>
        <v>6</v>
      </c>
      <c r="J3" s="24">
        <f t="shared" si="1"/>
        <v>16</v>
      </c>
      <c r="K3" s="12">
        <v>5</v>
      </c>
      <c r="L3" s="25">
        <v>4.5</v>
      </c>
      <c r="M3" s="25">
        <v>3.5</v>
      </c>
      <c r="N3" s="25">
        <v>6.2</v>
      </c>
      <c r="O3" s="24">
        <f t="shared" si="2"/>
        <v>1.7</v>
      </c>
      <c r="P3" s="25">
        <f>IF(C3="Stock", Settings!$C$4 * K3, IF(C3="Option", Settings!$C$5 * K3, 0))</f>
        <v>3.25</v>
      </c>
      <c r="Q3" s="25">
        <f>IF(E3="Buy/Long", (N3-L3)*K3*100-P3, (L3-N3)*K3*100-P3)</f>
        <v>846.75</v>
      </c>
      <c r="R3" s="11" t="s">
        <v>13</v>
      </c>
      <c r="S3" s="11" t="s">
        <v>14</v>
      </c>
      <c r="T3" s="11" t="s">
        <v>53</v>
      </c>
      <c r="U3" s="11" t="s">
        <v>54</v>
      </c>
    </row>
    <row r="4" spans="1:21" ht="15">
      <c r="A4" s="23">
        <v>46156.576388888891</v>
      </c>
      <c r="B4" s="23">
        <v>46170.8125</v>
      </c>
      <c r="C4" s="11" t="s">
        <v>49</v>
      </c>
      <c r="D4" s="11" t="s">
        <v>55</v>
      </c>
      <c r="E4" s="11" t="s">
        <v>56</v>
      </c>
      <c r="F4" s="11" t="s">
        <v>57</v>
      </c>
      <c r="G4" s="11" t="s">
        <v>58</v>
      </c>
      <c r="H4" s="26">
        <v>46171.166666666672</v>
      </c>
      <c r="I4" s="24">
        <f t="shared" si="0"/>
        <v>14</v>
      </c>
      <c r="J4" s="24">
        <f t="shared" si="1"/>
        <v>14</v>
      </c>
      <c r="K4" s="12">
        <v>10</v>
      </c>
      <c r="L4" s="25">
        <v>1.2</v>
      </c>
      <c r="M4" s="25">
        <v>1.8</v>
      </c>
      <c r="N4" s="25">
        <v>0.3</v>
      </c>
      <c r="O4" s="24">
        <f t="shared" si="2"/>
        <v>1.5</v>
      </c>
      <c r="P4" s="25">
        <f>IF(C4="Stock", Settings!$C$4 * K4, IF(C4="Option", Settings!$C$5 * K4, 0))</f>
        <v>6.5</v>
      </c>
      <c r="Q4" s="25">
        <f>IF(E4="Buy/Long", (N4-L4)*K4*100-P4, (L4-N4)*K4*100-P4)</f>
        <v>893.5</v>
      </c>
      <c r="R4" s="11" t="s">
        <v>12</v>
      </c>
      <c r="S4" s="11" t="s">
        <v>12</v>
      </c>
      <c r="T4" s="11" t="s">
        <v>59</v>
      </c>
      <c r="U4" s="11" t="s">
        <v>60</v>
      </c>
    </row>
    <row r="5" spans="1:21" ht="15">
      <c r="A5" s="23">
        <v>46160.645833333328</v>
      </c>
      <c r="B5" s="23">
        <v>46164.666666666672</v>
      </c>
      <c r="C5" s="11" t="s">
        <v>49</v>
      </c>
      <c r="D5" s="11" t="s">
        <v>61</v>
      </c>
      <c r="E5" s="11" t="s">
        <v>44</v>
      </c>
      <c r="F5" s="11" t="s">
        <v>62</v>
      </c>
      <c r="G5" s="11" t="s">
        <v>63</v>
      </c>
      <c r="H5" s="26">
        <v>46171.166666666672</v>
      </c>
      <c r="I5" s="24">
        <f t="shared" si="0"/>
        <v>4</v>
      </c>
      <c r="J5" s="24">
        <f t="shared" si="1"/>
        <v>10</v>
      </c>
      <c r="K5" s="12">
        <v>4</v>
      </c>
      <c r="L5" s="25">
        <v>2.1</v>
      </c>
      <c r="M5" s="25">
        <v>1.5</v>
      </c>
      <c r="N5" s="25">
        <v>3.4</v>
      </c>
      <c r="O5" s="24">
        <f t="shared" si="2"/>
        <v>2.17</v>
      </c>
      <c r="P5" s="25">
        <f>IF(C5="Stock", Settings!$C$4 * K5, IF(C5="Option", Settings!$C$5 * K5, 0))</f>
        <v>2.6</v>
      </c>
      <c r="Q5" s="25">
        <f>IF(E5="Buy/Long", (N5-L5)*K5*100-P5, (L5-N5)*K5*100-P5)</f>
        <v>517.39999999999986</v>
      </c>
      <c r="R5" s="11" t="s">
        <v>12</v>
      </c>
      <c r="S5" s="11" t="s">
        <v>17</v>
      </c>
      <c r="T5" s="11" t="s">
        <v>53</v>
      </c>
      <c r="U5" s="11" t="s">
        <v>64</v>
      </c>
    </row>
    <row r="6" spans="1:21" ht="15">
      <c r="A6" s="23">
        <v>46162.722222222219</v>
      </c>
      <c r="B6" s="23">
        <v>46165.791666666672</v>
      </c>
      <c r="C6" s="11" t="s">
        <v>49</v>
      </c>
      <c r="D6" s="11" t="s">
        <v>65</v>
      </c>
      <c r="E6" s="11" t="s">
        <v>44</v>
      </c>
      <c r="F6" s="11" t="s">
        <v>66</v>
      </c>
      <c r="G6" s="11" t="s">
        <v>67</v>
      </c>
      <c r="H6" s="26">
        <v>46171.166666666672</v>
      </c>
      <c r="I6" s="24">
        <f t="shared" si="0"/>
        <v>3</v>
      </c>
      <c r="J6" s="24">
        <f t="shared" si="1"/>
        <v>8</v>
      </c>
      <c r="K6" s="12">
        <v>2</v>
      </c>
      <c r="L6" s="25">
        <v>4.8</v>
      </c>
      <c r="M6" s="25">
        <v>5.5</v>
      </c>
      <c r="N6" s="25">
        <v>2.1</v>
      </c>
      <c r="O6" s="24">
        <f t="shared" si="2"/>
        <v>3.86</v>
      </c>
      <c r="P6" s="25">
        <f>IF(C6="Stock", Settings!$C$4 * K6, IF(C6="Option", Settings!$C$5 * K6, 0))</f>
        <v>1.3</v>
      </c>
      <c r="Q6" s="25">
        <f>IF(E6="Buy/Long", (N6-L6)*K6*100-P6, (L6-N6)*K6*100-P6)</f>
        <v>-541.29999999999995</v>
      </c>
      <c r="R6" s="11" t="s">
        <v>17</v>
      </c>
      <c r="S6" s="11" t="s">
        <v>12</v>
      </c>
      <c r="T6" s="11" t="s">
        <v>68</v>
      </c>
      <c r="U6" s="11" t="s">
        <v>69</v>
      </c>
    </row>
    <row r="7" spans="1:21" ht="15">
      <c r="A7" s="23">
        <v>46164.819444444445</v>
      </c>
      <c r="B7" s="23">
        <v>46165.5625</v>
      </c>
      <c r="C7" s="11" t="s">
        <v>42</v>
      </c>
      <c r="D7" s="11" t="s">
        <v>70</v>
      </c>
      <c r="E7" s="11" t="s">
        <v>44</v>
      </c>
      <c r="F7" s="11" t="s">
        <v>45</v>
      </c>
      <c r="G7" s="11" t="s">
        <v>46</v>
      </c>
      <c r="H7" s="11" t="s">
        <v>46</v>
      </c>
      <c r="I7" s="24">
        <f t="shared" si="0"/>
        <v>0</v>
      </c>
      <c r="J7" s="24" t="str">
        <f t="shared" si="1"/>
        <v/>
      </c>
      <c r="K7" s="12">
        <v>50</v>
      </c>
      <c r="L7" s="25">
        <v>165</v>
      </c>
      <c r="M7" s="25">
        <v>170</v>
      </c>
      <c r="N7" s="25">
        <v>158.5</v>
      </c>
      <c r="O7" s="24">
        <f t="shared" si="2"/>
        <v>1.3</v>
      </c>
      <c r="P7" s="25">
        <f>IF(C7="Stock", Settings!$C$4 * K7, IF(C7="Option", Settings!$C$5 * K7, 0))</f>
        <v>0</v>
      </c>
      <c r="Q7" s="25">
        <f>IF(E7="Buy/Long", (N7-L7)*K7-P7, (L7-N7)*K7-P7)</f>
        <v>-325</v>
      </c>
      <c r="R7" s="11" t="s">
        <v>16</v>
      </c>
      <c r="S7" s="11" t="s">
        <v>17</v>
      </c>
      <c r="T7" s="11" t="s">
        <v>71</v>
      </c>
      <c r="U7" s="11" t="s">
        <v>72</v>
      </c>
    </row>
    <row r="8" spans="1:21">
      <c r="I8" s="27" t="str">
        <f t="shared" si="0"/>
        <v/>
      </c>
      <c r="J8" s="27" t="str">
        <f t="shared" si="1"/>
        <v/>
      </c>
      <c r="O8" s="28" t="str">
        <f t="shared" si="2"/>
        <v/>
      </c>
      <c r="P8" s="29">
        <f>IF(C8="Stock", Settings!$C$4 * K8, IF(C8="Option", Settings!$C$5 * K8, 0))</f>
        <v>0</v>
      </c>
      <c r="Q8" s="30" t="str">
        <f t="shared" ref="Q8:Q39" si="3">IF(C8="Stock", IF(E8="Buy/Long", (N8-L8)*K8-P8, (L8-N8)*K8-P8), IF(C8="Option", IF(E8="Buy/Long", (N8-L8)*K8*100-P8, (L8-N8)*K8*100-P8), ""))</f>
        <v/>
      </c>
    </row>
    <row r="9" spans="1:21">
      <c r="I9" s="27" t="str">
        <f t="shared" si="0"/>
        <v/>
      </c>
      <c r="J9" s="27" t="str">
        <f t="shared" si="1"/>
        <v/>
      </c>
      <c r="O9" s="28" t="str">
        <f t="shared" si="2"/>
        <v/>
      </c>
      <c r="P9" s="29">
        <f>IF(C9="Stock", Settings!$C$4 * K9, IF(C9="Option", Settings!$C$5 * K9, 0))</f>
        <v>0</v>
      </c>
      <c r="Q9" s="30" t="str">
        <f t="shared" si="3"/>
        <v/>
      </c>
    </row>
    <row r="10" spans="1:21">
      <c r="I10" s="27" t="str">
        <f t="shared" si="0"/>
        <v/>
      </c>
      <c r="J10" s="27" t="str">
        <f t="shared" si="1"/>
        <v/>
      </c>
      <c r="O10" s="28" t="str">
        <f t="shared" si="2"/>
        <v/>
      </c>
      <c r="P10" s="29">
        <f>IF(C10="Stock", Settings!$C$4 * K10, IF(C10="Option", Settings!$C$5 * K10, 0))</f>
        <v>0</v>
      </c>
      <c r="Q10" s="30" t="str">
        <f t="shared" si="3"/>
        <v/>
      </c>
    </row>
    <row r="11" spans="1:21">
      <c r="I11" s="27" t="str">
        <f t="shared" si="0"/>
        <v/>
      </c>
      <c r="J11" s="27" t="str">
        <f t="shared" si="1"/>
        <v/>
      </c>
      <c r="O11" s="28" t="str">
        <f t="shared" si="2"/>
        <v/>
      </c>
      <c r="P11" s="29">
        <f>IF(C11="Stock", Settings!$C$4 * K11, IF(C11="Option", Settings!$C$5 * K11, 0))</f>
        <v>0</v>
      </c>
      <c r="Q11" s="30" t="str">
        <f t="shared" si="3"/>
        <v/>
      </c>
    </row>
    <row r="12" spans="1:21">
      <c r="I12" s="27" t="str">
        <f t="shared" si="0"/>
        <v/>
      </c>
      <c r="J12" s="27" t="str">
        <f t="shared" si="1"/>
        <v/>
      </c>
      <c r="O12" s="28" t="str">
        <f t="shared" si="2"/>
        <v/>
      </c>
      <c r="P12" s="29">
        <f>IF(C12="Stock", Settings!$C$4 * K12, IF(C12="Option", Settings!$C$5 * K12, 0))</f>
        <v>0</v>
      </c>
      <c r="Q12" s="30" t="str">
        <f t="shared" si="3"/>
        <v/>
      </c>
    </row>
    <row r="13" spans="1:21">
      <c r="I13" s="27" t="str">
        <f t="shared" si="0"/>
        <v/>
      </c>
      <c r="J13" s="27" t="str">
        <f t="shared" si="1"/>
        <v/>
      </c>
      <c r="O13" s="28" t="str">
        <f t="shared" si="2"/>
        <v/>
      </c>
      <c r="P13" s="29">
        <f>IF(C13="Stock", Settings!$C$4 * K13, IF(C13="Option", Settings!$C$5 * K13, 0))</f>
        <v>0</v>
      </c>
      <c r="Q13" s="30" t="str">
        <f t="shared" si="3"/>
        <v/>
      </c>
    </row>
    <row r="14" spans="1:21">
      <c r="I14" s="27" t="str">
        <f t="shared" si="0"/>
        <v/>
      </c>
      <c r="J14" s="27" t="str">
        <f t="shared" si="1"/>
        <v/>
      </c>
      <c r="O14" s="28" t="str">
        <f t="shared" si="2"/>
        <v/>
      </c>
      <c r="P14" s="29">
        <f>IF(C14="Stock", Settings!$C$4 * K14, IF(C14="Option", Settings!$C$5 * K14, 0))</f>
        <v>0</v>
      </c>
      <c r="Q14" s="30" t="str">
        <f t="shared" si="3"/>
        <v/>
      </c>
    </row>
    <row r="15" spans="1:21">
      <c r="I15" s="27" t="str">
        <f t="shared" si="0"/>
        <v/>
      </c>
      <c r="J15" s="27" t="str">
        <f t="shared" si="1"/>
        <v/>
      </c>
      <c r="O15" s="28" t="str">
        <f t="shared" si="2"/>
        <v/>
      </c>
      <c r="P15" s="29">
        <f>IF(C15="Stock", Settings!$C$4 * K15, IF(C15="Option", Settings!$C$5 * K15, 0))</f>
        <v>0</v>
      </c>
      <c r="Q15" s="30" t="str">
        <f t="shared" si="3"/>
        <v/>
      </c>
    </row>
    <row r="16" spans="1:21">
      <c r="I16" s="27" t="str">
        <f t="shared" si="0"/>
        <v/>
      </c>
      <c r="J16" s="27" t="str">
        <f t="shared" si="1"/>
        <v/>
      </c>
      <c r="O16" s="28" t="str">
        <f t="shared" si="2"/>
        <v/>
      </c>
      <c r="P16" s="29">
        <f>IF(C16="Stock", Settings!$C$4 * K16, IF(C16="Option", Settings!$C$5 * K16, 0))</f>
        <v>0</v>
      </c>
      <c r="Q16" s="30" t="str">
        <f t="shared" si="3"/>
        <v/>
      </c>
    </row>
    <row r="17" spans="9:17">
      <c r="I17" s="27" t="str">
        <f t="shared" si="0"/>
        <v/>
      </c>
      <c r="J17" s="27" t="str">
        <f t="shared" si="1"/>
        <v/>
      </c>
      <c r="O17" s="28" t="str">
        <f t="shared" si="2"/>
        <v/>
      </c>
      <c r="P17" s="29">
        <f>IF(C17="Stock", Settings!$C$4 * K17, IF(C17="Option", Settings!$C$5 * K17, 0))</f>
        <v>0</v>
      </c>
      <c r="Q17" s="30" t="str">
        <f t="shared" si="3"/>
        <v/>
      </c>
    </row>
    <row r="18" spans="9:17">
      <c r="I18" s="27" t="str">
        <f t="shared" si="0"/>
        <v/>
      </c>
      <c r="J18" s="27" t="str">
        <f t="shared" si="1"/>
        <v/>
      </c>
      <c r="O18" s="28" t="str">
        <f t="shared" si="2"/>
        <v/>
      </c>
      <c r="P18" s="29">
        <f>IF(C18="Stock", Settings!$C$4 * K18, IF(C18="Option", Settings!$C$5 * K18, 0))</f>
        <v>0</v>
      </c>
      <c r="Q18" s="30" t="str">
        <f t="shared" si="3"/>
        <v/>
      </c>
    </row>
    <row r="19" spans="9:17">
      <c r="I19" s="27" t="str">
        <f t="shared" si="0"/>
        <v/>
      </c>
      <c r="J19" s="27" t="str">
        <f t="shared" si="1"/>
        <v/>
      </c>
      <c r="O19" s="28" t="str">
        <f t="shared" si="2"/>
        <v/>
      </c>
      <c r="P19" s="29">
        <f>IF(C19="Stock", Settings!$C$4 * K19, IF(C19="Option", Settings!$C$5 * K19, 0))</f>
        <v>0</v>
      </c>
      <c r="Q19" s="30" t="str">
        <f t="shared" si="3"/>
        <v/>
      </c>
    </row>
    <row r="20" spans="9:17">
      <c r="I20" s="27" t="str">
        <f t="shared" si="0"/>
        <v/>
      </c>
      <c r="J20" s="27" t="str">
        <f t="shared" si="1"/>
        <v/>
      </c>
      <c r="O20" s="28" t="str">
        <f t="shared" si="2"/>
        <v/>
      </c>
      <c r="P20" s="29">
        <f>IF(C20="Stock", Settings!$C$4 * K20, IF(C20="Option", Settings!$C$5 * K20, 0))</f>
        <v>0</v>
      </c>
      <c r="Q20" s="30" t="str">
        <f t="shared" si="3"/>
        <v/>
      </c>
    </row>
    <row r="21" spans="9:17">
      <c r="I21" s="27" t="str">
        <f t="shared" si="0"/>
        <v/>
      </c>
      <c r="J21" s="27" t="str">
        <f t="shared" si="1"/>
        <v/>
      </c>
      <c r="O21" s="28" t="str">
        <f t="shared" si="2"/>
        <v/>
      </c>
      <c r="P21" s="29">
        <f>IF(C21="Stock", Settings!$C$4 * K21, IF(C21="Option", Settings!$C$5 * K21, 0))</f>
        <v>0</v>
      </c>
      <c r="Q21" s="30" t="str">
        <f t="shared" si="3"/>
        <v/>
      </c>
    </row>
    <row r="22" spans="9:17">
      <c r="I22" s="27" t="str">
        <f t="shared" si="0"/>
        <v/>
      </c>
      <c r="J22" s="27" t="str">
        <f t="shared" si="1"/>
        <v/>
      </c>
      <c r="O22" s="28" t="str">
        <f t="shared" si="2"/>
        <v/>
      </c>
      <c r="P22" s="29">
        <f>IF(C22="Stock", Settings!$C$4 * K22, IF(C22="Option", Settings!$C$5 * K22, 0))</f>
        <v>0</v>
      </c>
      <c r="Q22" s="30" t="str">
        <f t="shared" si="3"/>
        <v/>
      </c>
    </row>
    <row r="23" spans="9:17">
      <c r="I23" s="27" t="str">
        <f t="shared" si="0"/>
        <v/>
      </c>
      <c r="J23" s="27" t="str">
        <f t="shared" si="1"/>
        <v/>
      </c>
      <c r="O23" s="28" t="str">
        <f t="shared" si="2"/>
        <v/>
      </c>
      <c r="P23" s="29">
        <f>IF(C23="Stock", Settings!$C$4 * K23, IF(C23="Option", Settings!$C$5 * K23, 0))</f>
        <v>0</v>
      </c>
      <c r="Q23" s="30" t="str">
        <f t="shared" si="3"/>
        <v/>
      </c>
    </row>
    <row r="24" spans="9:17">
      <c r="I24" s="27" t="str">
        <f t="shared" si="0"/>
        <v/>
      </c>
      <c r="J24" s="27" t="str">
        <f t="shared" si="1"/>
        <v/>
      </c>
      <c r="O24" s="28" t="str">
        <f t="shared" si="2"/>
        <v/>
      </c>
      <c r="P24" s="29">
        <f>IF(C24="Stock", Settings!$C$4 * K24, IF(C24="Option", Settings!$C$5 * K24, 0))</f>
        <v>0</v>
      </c>
      <c r="Q24" s="30" t="str">
        <f t="shared" si="3"/>
        <v/>
      </c>
    </row>
    <row r="25" spans="9:17">
      <c r="I25" s="27" t="str">
        <f t="shared" si="0"/>
        <v/>
      </c>
      <c r="J25" s="27" t="str">
        <f t="shared" si="1"/>
        <v/>
      </c>
      <c r="O25" s="28" t="str">
        <f t="shared" si="2"/>
        <v/>
      </c>
      <c r="P25" s="29">
        <f>IF(C25="Stock", Settings!$C$4 * K25, IF(C25="Option", Settings!$C$5 * K25, 0))</f>
        <v>0</v>
      </c>
      <c r="Q25" s="30" t="str">
        <f t="shared" si="3"/>
        <v/>
      </c>
    </row>
    <row r="26" spans="9:17">
      <c r="I26" s="27" t="str">
        <f t="shared" si="0"/>
        <v/>
      </c>
      <c r="J26" s="27" t="str">
        <f t="shared" si="1"/>
        <v/>
      </c>
      <c r="O26" s="28" t="str">
        <f t="shared" si="2"/>
        <v/>
      </c>
      <c r="P26" s="29">
        <f>IF(C26="Stock", Settings!$C$4 * K26, IF(C26="Option", Settings!$C$5 * K26, 0))</f>
        <v>0</v>
      </c>
      <c r="Q26" s="30" t="str">
        <f t="shared" si="3"/>
        <v/>
      </c>
    </row>
    <row r="27" spans="9:17">
      <c r="I27" s="27" t="str">
        <f t="shared" si="0"/>
        <v/>
      </c>
      <c r="J27" s="27" t="str">
        <f t="shared" si="1"/>
        <v/>
      </c>
      <c r="O27" s="28" t="str">
        <f t="shared" si="2"/>
        <v/>
      </c>
      <c r="P27" s="29">
        <f>IF(C27="Stock", Settings!$C$4 * K27, IF(C27="Option", Settings!$C$5 * K27, 0))</f>
        <v>0</v>
      </c>
      <c r="Q27" s="30" t="str">
        <f t="shared" si="3"/>
        <v/>
      </c>
    </row>
    <row r="28" spans="9:17">
      <c r="I28" s="27" t="str">
        <f t="shared" si="0"/>
        <v/>
      </c>
      <c r="J28" s="27" t="str">
        <f t="shared" si="1"/>
        <v/>
      </c>
      <c r="O28" s="28" t="str">
        <f t="shared" si="2"/>
        <v/>
      </c>
      <c r="P28" s="29">
        <f>IF(C28="Stock", Settings!$C$4 * K28, IF(C28="Option", Settings!$C$5 * K28, 0))</f>
        <v>0</v>
      </c>
      <c r="Q28" s="30" t="str">
        <f t="shared" si="3"/>
        <v/>
      </c>
    </row>
    <row r="29" spans="9:17">
      <c r="I29" s="27" t="str">
        <f t="shared" si="0"/>
        <v/>
      </c>
      <c r="J29" s="27" t="str">
        <f t="shared" si="1"/>
        <v/>
      </c>
      <c r="O29" s="28" t="str">
        <f t="shared" si="2"/>
        <v/>
      </c>
      <c r="P29" s="29">
        <f>IF(C29="Stock", Settings!$C$4 * K29, IF(C29="Option", Settings!$C$5 * K29, 0))</f>
        <v>0</v>
      </c>
      <c r="Q29" s="30" t="str">
        <f t="shared" si="3"/>
        <v/>
      </c>
    </row>
    <row r="30" spans="9:17">
      <c r="I30" s="27" t="str">
        <f t="shared" si="0"/>
        <v/>
      </c>
      <c r="J30" s="27" t="str">
        <f t="shared" si="1"/>
        <v/>
      </c>
      <c r="O30" s="28" t="str">
        <f t="shared" si="2"/>
        <v/>
      </c>
      <c r="P30" s="29">
        <f>IF(C30="Stock", Settings!$C$4 * K30, IF(C30="Option", Settings!$C$5 * K30, 0))</f>
        <v>0</v>
      </c>
      <c r="Q30" s="30" t="str">
        <f t="shared" si="3"/>
        <v/>
      </c>
    </row>
    <row r="31" spans="9:17">
      <c r="I31" s="27" t="str">
        <f t="shared" si="0"/>
        <v/>
      </c>
      <c r="J31" s="27" t="str">
        <f t="shared" si="1"/>
        <v/>
      </c>
      <c r="O31" s="28" t="str">
        <f t="shared" si="2"/>
        <v/>
      </c>
      <c r="P31" s="29">
        <f>IF(C31="Stock", Settings!$C$4 * K31, IF(C31="Option", Settings!$C$5 * K31, 0))</f>
        <v>0</v>
      </c>
      <c r="Q31" s="30" t="str">
        <f t="shared" si="3"/>
        <v/>
      </c>
    </row>
    <row r="32" spans="9:17">
      <c r="I32" s="27" t="str">
        <f t="shared" si="0"/>
        <v/>
      </c>
      <c r="J32" s="27" t="str">
        <f t="shared" si="1"/>
        <v/>
      </c>
      <c r="O32" s="28" t="str">
        <f t="shared" si="2"/>
        <v/>
      </c>
      <c r="P32" s="29">
        <f>IF(C32="Stock", Settings!$C$4 * K32, IF(C32="Option", Settings!$C$5 * K32, 0))</f>
        <v>0</v>
      </c>
      <c r="Q32" s="30" t="str">
        <f t="shared" si="3"/>
        <v/>
      </c>
    </row>
    <row r="33" spans="9:17">
      <c r="I33" s="27" t="str">
        <f t="shared" si="0"/>
        <v/>
      </c>
      <c r="J33" s="27" t="str">
        <f t="shared" si="1"/>
        <v/>
      </c>
      <c r="O33" s="28" t="str">
        <f t="shared" si="2"/>
        <v/>
      </c>
      <c r="P33" s="29">
        <f>IF(C33="Stock", Settings!$C$4 * K33, IF(C33="Option", Settings!$C$5 * K33, 0))</f>
        <v>0</v>
      </c>
      <c r="Q33" s="30" t="str">
        <f t="shared" si="3"/>
        <v/>
      </c>
    </row>
    <row r="34" spans="9:17">
      <c r="I34" s="27" t="str">
        <f t="shared" ref="I34:I65" si="4">IF(OR(A34="", B34=""), "", INT(B34-A34))</f>
        <v/>
      </c>
      <c r="J34" s="27" t="str">
        <f t="shared" ref="J34:J65" si="5">IF(OR(A34="", H34=""), "", INT(H34-A34))</f>
        <v/>
      </c>
      <c r="O34" s="28" t="str">
        <f t="shared" ref="O34:O65" si="6">IF(OR(L34="", N34="", M34="", M34=L34), "", ROUND(ABS(N34-L34)/ABS(L34-M34), 2))</f>
        <v/>
      </c>
      <c r="P34" s="29">
        <f>IF(C34="Stock", Settings!$C$4 * K34, IF(C34="Option", Settings!$C$5 * K34, 0))</f>
        <v>0</v>
      </c>
      <c r="Q34" s="30" t="str">
        <f t="shared" si="3"/>
        <v/>
      </c>
    </row>
    <row r="35" spans="9:17">
      <c r="I35" s="27" t="str">
        <f t="shared" si="4"/>
        <v/>
      </c>
      <c r="J35" s="27" t="str">
        <f t="shared" si="5"/>
        <v/>
      </c>
      <c r="O35" s="28" t="str">
        <f t="shared" si="6"/>
        <v/>
      </c>
      <c r="P35" s="29">
        <f>IF(C35="Stock", Settings!$C$4 * K35, IF(C35="Option", Settings!$C$5 * K35, 0))</f>
        <v>0</v>
      </c>
      <c r="Q35" s="30" t="str">
        <f t="shared" si="3"/>
        <v/>
      </c>
    </row>
    <row r="36" spans="9:17">
      <c r="I36" s="27" t="str">
        <f t="shared" si="4"/>
        <v/>
      </c>
      <c r="J36" s="27" t="str">
        <f t="shared" si="5"/>
        <v/>
      </c>
      <c r="O36" s="28" t="str">
        <f t="shared" si="6"/>
        <v/>
      </c>
      <c r="P36" s="29">
        <f>IF(C36="Stock", Settings!$C$4 * K36, IF(C36="Option", Settings!$C$5 * K36, 0))</f>
        <v>0</v>
      </c>
      <c r="Q36" s="30" t="str">
        <f t="shared" si="3"/>
        <v/>
      </c>
    </row>
    <row r="37" spans="9:17">
      <c r="I37" s="27" t="str">
        <f t="shared" si="4"/>
        <v/>
      </c>
      <c r="J37" s="27" t="str">
        <f t="shared" si="5"/>
        <v/>
      </c>
      <c r="O37" s="28" t="str">
        <f t="shared" si="6"/>
        <v/>
      </c>
      <c r="P37" s="29">
        <f>IF(C37="Stock", Settings!$C$4 * K37, IF(C37="Option", Settings!$C$5 * K37, 0))</f>
        <v>0</v>
      </c>
      <c r="Q37" s="30" t="str">
        <f t="shared" si="3"/>
        <v/>
      </c>
    </row>
    <row r="38" spans="9:17">
      <c r="I38" s="27" t="str">
        <f t="shared" si="4"/>
        <v/>
      </c>
      <c r="J38" s="27" t="str">
        <f t="shared" si="5"/>
        <v/>
      </c>
      <c r="O38" s="28" t="str">
        <f t="shared" si="6"/>
        <v/>
      </c>
      <c r="P38" s="29">
        <f>IF(C38="Stock", Settings!$C$4 * K38, IF(C38="Option", Settings!$C$5 * K38, 0))</f>
        <v>0</v>
      </c>
      <c r="Q38" s="30" t="str">
        <f t="shared" si="3"/>
        <v/>
      </c>
    </row>
    <row r="39" spans="9:17">
      <c r="I39" s="27" t="str">
        <f t="shared" si="4"/>
        <v/>
      </c>
      <c r="J39" s="27" t="str">
        <f t="shared" si="5"/>
        <v/>
      </c>
      <c r="O39" s="28" t="str">
        <f t="shared" si="6"/>
        <v/>
      </c>
      <c r="P39" s="29">
        <f>IF(C39="Stock", Settings!$C$4 * K39, IF(C39="Option", Settings!$C$5 * K39, 0))</f>
        <v>0</v>
      </c>
      <c r="Q39" s="30" t="str">
        <f t="shared" si="3"/>
        <v/>
      </c>
    </row>
    <row r="40" spans="9:17">
      <c r="I40" s="27" t="str">
        <f t="shared" si="4"/>
        <v/>
      </c>
      <c r="J40" s="27" t="str">
        <f t="shared" si="5"/>
        <v/>
      </c>
      <c r="O40" s="28" t="str">
        <f t="shared" si="6"/>
        <v/>
      </c>
      <c r="P40" s="29">
        <f>IF(C40="Stock", Settings!$C$4 * K40, IF(C40="Option", Settings!$C$5 * K40, 0))</f>
        <v>0</v>
      </c>
      <c r="Q40" s="30" t="str">
        <f t="shared" ref="Q40:Q71" si="7">IF(C40="Stock", IF(E40="Buy/Long", (N40-L40)*K40-P40, (L40-N40)*K40-P40), IF(C40="Option", IF(E40="Buy/Long", (N40-L40)*K40*100-P40, (L40-N40)*K40*100-P40), ""))</f>
        <v/>
      </c>
    </row>
    <row r="41" spans="9:17">
      <c r="I41" s="27" t="str">
        <f t="shared" si="4"/>
        <v/>
      </c>
      <c r="J41" s="27" t="str">
        <f t="shared" si="5"/>
        <v/>
      </c>
      <c r="O41" s="28" t="str">
        <f t="shared" si="6"/>
        <v/>
      </c>
      <c r="P41" s="29">
        <f>IF(C41="Stock", Settings!$C$4 * K41, IF(C41="Option", Settings!$C$5 * K41, 0))</f>
        <v>0</v>
      </c>
      <c r="Q41" s="30" t="str">
        <f t="shared" si="7"/>
        <v/>
      </c>
    </row>
    <row r="42" spans="9:17">
      <c r="I42" s="27" t="str">
        <f t="shared" si="4"/>
        <v/>
      </c>
      <c r="J42" s="27" t="str">
        <f t="shared" si="5"/>
        <v/>
      </c>
      <c r="O42" s="28" t="str">
        <f t="shared" si="6"/>
        <v/>
      </c>
      <c r="P42" s="29">
        <f>IF(C42="Stock", Settings!$C$4 * K42, IF(C42="Option", Settings!$C$5 * K42, 0))</f>
        <v>0</v>
      </c>
      <c r="Q42" s="30" t="str">
        <f t="shared" si="7"/>
        <v/>
      </c>
    </row>
    <row r="43" spans="9:17">
      <c r="I43" s="27" t="str">
        <f t="shared" si="4"/>
        <v/>
      </c>
      <c r="J43" s="27" t="str">
        <f t="shared" si="5"/>
        <v/>
      </c>
      <c r="O43" s="28" t="str">
        <f t="shared" si="6"/>
        <v/>
      </c>
      <c r="P43" s="29">
        <f>IF(C43="Stock", Settings!$C$4 * K43, IF(C43="Option", Settings!$C$5 * K43, 0))</f>
        <v>0</v>
      </c>
      <c r="Q43" s="30" t="str">
        <f t="shared" si="7"/>
        <v/>
      </c>
    </row>
    <row r="44" spans="9:17">
      <c r="I44" s="27" t="str">
        <f t="shared" si="4"/>
        <v/>
      </c>
      <c r="J44" s="27" t="str">
        <f t="shared" si="5"/>
        <v/>
      </c>
      <c r="O44" s="28" t="str">
        <f t="shared" si="6"/>
        <v/>
      </c>
      <c r="P44" s="29">
        <f>IF(C44="Stock", Settings!$C$4 * K44, IF(C44="Option", Settings!$C$5 * K44, 0))</f>
        <v>0</v>
      </c>
      <c r="Q44" s="30" t="str">
        <f t="shared" si="7"/>
        <v/>
      </c>
    </row>
    <row r="45" spans="9:17">
      <c r="I45" s="27" t="str">
        <f t="shared" si="4"/>
        <v/>
      </c>
      <c r="J45" s="27" t="str">
        <f t="shared" si="5"/>
        <v/>
      </c>
      <c r="O45" s="28" t="str">
        <f t="shared" si="6"/>
        <v/>
      </c>
      <c r="P45" s="29">
        <f>IF(C45="Stock", Settings!$C$4 * K45, IF(C45="Option", Settings!$C$5 * K45, 0))</f>
        <v>0</v>
      </c>
      <c r="Q45" s="30" t="str">
        <f t="shared" si="7"/>
        <v/>
      </c>
    </row>
    <row r="46" spans="9:17">
      <c r="I46" s="27" t="str">
        <f t="shared" si="4"/>
        <v/>
      </c>
      <c r="J46" s="27" t="str">
        <f t="shared" si="5"/>
        <v/>
      </c>
      <c r="O46" s="28" t="str">
        <f t="shared" si="6"/>
        <v/>
      </c>
      <c r="P46" s="29">
        <f>IF(C46="Stock", Settings!$C$4 * K46, IF(C46="Option", Settings!$C$5 * K46, 0))</f>
        <v>0</v>
      </c>
      <c r="Q46" s="30" t="str">
        <f t="shared" si="7"/>
        <v/>
      </c>
    </row>
    <row r="47" spans="9:17">
      <c r="I47" s="27" t="str">
        <f t="shared" si="4"/>
        <v/>
      </c>
      <c r="J47" s="27" t="str">
        <f t="shared" si="5"/>
        <v/>
      </c>
      <c r="O47" s="28" t="str">
        <f t="shared" si="6"/>
        <v/>
      </c>
      <c r="P47" s="29">
        <f>IF(C47="Stock", Settings!$C$4 * K47, IF(C47="Option", Settings!$C$5 * K47, 0))</f>
        <v>0</v>
      </c>
      <c r="Q47" s="30" t="str">
        <f t="shared" si="7"/>
        <v/>
      </c>
    </row>
    <row r="48" spans="9:17">
      <c r="I48" s="27" t="str">
        <f t="shared" si="4"/>
        <v/>
      </c>
      <c r="J48" s="27" t="str">
        <f t="shared" si="5"/>
        <v/>
      </c>
      <c r="O48" s="28" t="str">
        <f t="shared" si="6"/>
        <v/>
      </c>
      <c r="P48" s="29">
        <f>IF(C48="Stock", Settings!$C$4 * K48, IF(C48="Option", Settings!$C$5 * K48, 0))</f>
        <v>0</v>
      </c>
      <c r="Q48" s="30" t="str">
        <f t="shared" si="7"/>
        <v/>
      </c>
    </row>
    <row r="49" spans="9:17">
      <c r="I49" s="27" t="str">
        <f t="shared" si="4"/>
        <v/>
      </c>
      <c r="J49" s="27" t="str">
        <f t="shared" si="5"/>
        <v/>
      </c>
      <c r="O49" s="28" t="str">
        <f t="shared" si="6"/>
        <v/>
      </c>
      <c r="P49" s="29">
        <f>IF(C49="Stock", Settings!$C$4 * K49, IF(C49="Option", Settings!$C$5 * K49, 0))</f>
        <v>0</v>
      </c>
      <c r="Q49" s="30" t="str">
        <f t="shared" si="7"/>
        <v/>
      </c>
    </row>
    <row r="50" spans="9:17">
      <c r="I50" s="27" t="str">
        <f t="shared" si="4"/>
        <v/>
      </c>
      <c r="J50" s="27" t="str">
        <f t="shared" si="5"/>
        <v/>
      </c>
      <c r="O50" s="28" t="str">
        <f t="shared" si="6"/>
        <v/>
      </c>
      <c r="P50" s="29">
        <f>IF(C50="Stock", Settings!$C$4 * K50, IF(C50="Option", Settings!$C$5 * K50, 0))</f>
        <v>0</v>
      </c>
      <c r="Q50" s="30" t="str">
        <f t="shared" si="7"/>
        <v/>
      </c>
    </row>
    <row r="51" spans="9:17">
      <c r="I51" s="27" t="str">
        <f t="shared" si="4"/>
        <v/>
      </c>
      <c r="J51" s="27" t="str">
        <f t="shared" si="5"/>
        <v/>
      </c>
      <c r="O51" s="28" t="str">
        <f t="shared" si="6"/>
        <v/>
      </c>
      <c r="P51" s="29">
        <f>IF(C51="Stock", Settings!$C$4 * K51, IF(C51="Option", Settings!$C$5 * K51, 0))</f>
        <v>0</v>
      </c>
      <c r="Q51" s="30" t="str">
        <f t="shared" si="7"/>
        <v/>
      </c>
    </row>
    <row r="52" spans="9:17">
      <c r="I52" s="27" t="str">
        <f t="shared" si="4"/>
        <v/>
      </c>
      <c r="J52" s="27" t="str">
        <f t="shared" si="5"/>
        <v/>
      </c>
      <c r="O52" s="28" t="str">
        <f t="shared" si="6"/>
        <v/>
      </c>
      <c r="P52" s="29">
        <f>IF(C52="Stock", Settings!$C$4 * K52, IF(C52="Option", Settings!$C$5 * K52, 0))</f>
        <v>0</v>
      </c>
      <c r="Q52" s="30" t="str">
        <f t="shared" si="7"/>
        <v/>
      </c>
    </row>
    <row r="53" spans="9:17">
      <c r="I53" s="27" t="str">
        <f t="shared" si="4"/>
        <v/>
      </c>
      <c r="J53" s="27" t="str">
        <f t="shared" si="5"/>
        <v/>
      </c>
      <c r="O53" s="28" t="str">
        <f t="shared" si="6"/>
        <v/>
      </c>
      <c r="P53" s="29">
        <f>IF(C53="Stock", Settings!$C$4 * K53, IF(C53="Option", Settings!$C$5 * K53, 0))</f>
        <v>0</v>
      </c>
      <c r="Q53" s="30" t="str">
        <f t="shared" si="7"/>
        <v/>
      </c>
    </row>
    <row r="54" spans="9:17">
      <c r="I54" s="27" t="str">
        <f t="shared" si="4"/>
        <v/>
      </c>
      <c r="J54" s="27" t="str">
        <f t="shared" si="5"/>
        <v/>
      </c>
      <c r="O54" s="28" t="str">
        <f t="shared" si="6"/>
        <v/>
      </c>
      <c r="P54" s="29">
        <f>IF(C54="Stock", Settings!$C$4 * K54, IF(C54="Option", Settings!$C$5 * K54, 0))</f>
        <v>0</v>
      </c>
      <c r="Q54" s="30" t="str">
        <f t="shared" si="7"/>
        <v/>
      </c>
    </row>
    <row r="55" spans="9:17">
      <c r="I55" s="27" t="str">
        <f t="shared" si="4"/>
        <v/>
      </c>
      <c r="J55" s="27" t="str">
        <f t="shared" si="5"/>
        <v/>
      </c>
      <c r="O55" s="28" t="str">
        <f t="shared" si="6"/>
        <v/>
      </c>
      <c r="P55" s="29">
        <f>IF(C55="Stock", Settings!$C$4 * K55, IF(C55="Option", Settings!$C$5 * K55, 0))</f>
        <v>0</v>
      </c>
      <c r="Q55" s="30" t="str">
        <f t="shared" si="7"/>
        <v/>
      </c>
    </row>
    <row r="56" spans="9:17">
      <c r="I56" s="27" t="str">
        <f t="shared" si="4"/>
        <v/>
      </c>
      <c r="J56" s="27" t="str">
        <f t="shared" si="5"/>
        <v/>
      </c>
      <c r="O56" s="28" t="str">
        <f t="shared" si="6"/>
        <v/>
      </c>
      <c r="P56" s="29">
        <f>IF(C56="Stock", Settings!$C$4 * K56, IF(C56="Option", Settings!$C$5 * K56, 0))</f>
        <v>0</v>
      </c>
      <c r="Q56" s="30" t="str">
        <f t="shared" si="7"/>
        <v/>
      </c>
    </row>
    <row r="57" spans="9:17">
      <c r="I57" s="27" t="str">
        <f t="shared" si="4"/>
        <v/>
      </c>
      <c r="J57" s="27" t="str">
        <f t="shared" si="5"/>
        <v/>
      </c>
      <c r="O57" s="28" t="str">
        <f t="shared" si="6"/>
        <v/>
      </c>
      <c r="P57" s="29">
        <f>IF(C57="Stock", Settings!$C$4 * K57, IF(C57="Option", Settings!$C$5 * K57, 0))</f>
        <v>0</v>
      </c>
      <c r="Q57" s="30" t="str">
        <f t="shared" si="7"/>
        <v/>
      </c>
    </row>
    <row r="58" spans="9:17">
      <c r="I58" s="27" t="str">
        <f t="shared" si="4"/>
        <v/>
      </c>
      <c r="J58" s="27" t="str">
        <f t="shared" si="5"/>
        <v/>
      </c>
      <c r="O58" s="28" t="str">
        <f t="shared" si="6"/>
        <v/>
      </c>
      <c r="P58" s="29">
        <f>IF(C58="Stock", Settings!$C$4 * K58, IF(C58="Option", Settings!$C$5 * K58, 0))</f>
        <v>0</v>
      </c>
      <c r="Q58" s="30" t="str">
        <f t="shared" si="7"/>
        <v/>
      </c>
    </row>
    <row r="59" spans="9:17">
      <c r="I59" s="27" t="str">
        <f t="shared" si="4"/>
        <v/>
      </c>
      <c r="J59" s="27" t="str">
        <f t="shared" si="5"/>
        <v/>
      </c>
      <c r="O59" s="28" t="str">
        <f t="shared" si="6"/>
        <v/>
      </c>
      <c r="P59" s="29">
        <f>IF(C59="Stock", Settings!$C$4 * K59, IF(C59="Option", Settings!$C$5 * K59, 0))</f>
        <v>0</v>
      </c>
      <c r="Q59" s="30" t="str">
        <f t="shared" si="7"/>
        <v/>
      </c>
    </row>
    <row r="60" spans="9:17">
      <c r="I60" s="27" t="str">
        <f t="shared" si="4"/>
        <v/>
      </c>
      <c r="J60" s="27" t="str">
        <f t="shared" si="5"/>
        <v/>
      </c>
      <c r="O60" s="28" t="str">
        <f t="shared" si="6"/>
        <v/>
      </c>
      <c r="P60" s="29">
        <f>IF(C60="Stock", Settings!$C$4 * K60, IF(C60="Option", Settings!$C$5 * K60, 0))</f>
        <v>0</v>
      </c>
      <c r="Q60" s="30" t="str">
        <f t="shared" si="7"/>
        <v/>
      </c>
    </row>
    <row r="61" spans="9:17">
      <c r="I61" s="27" t="str">
        <f t="shared" si="4"/>
        <v/>
      </c>
      <c r="J61" s="27" t="str">
        <f t="shared" si="5"/>
        <v/>
      </c>
      <c r="O61" s="28" t="str">
        <f t="shared" si="6"/>
        <v/>
      </c>
      <c r="P61" s="29">
        <f>IF(C61="Stock", Settings!$C$4 * K61, IF(C61="Option", Settings!$C$5 * K61, 0))</f>
        <v>0</v>
      </c>
      <c r="Q61" s="30" t="str">
        <f t="shared" si="7"/>
        <v/>
      </c>
    </row>
    <row r="62" spans="9:17">
      <c r="I62" s="27" t="str">
        <f t="shared" si="4"/>
        <v/>
      </c>
      <c r="J62" s="27" t="str">
        <f t="shared" si="5"/>
        <v/>
      </c>
      <c r="O62" s="28" t="str">
        <f t="shared" si="6"/>
        <v/>
      </c>
      <c r="P62" s="29">
        <f>IF(C62="Stock", Settings!$C$4 * K62, IF(C62="Option", Settings!$C$5 * K62, 0))</f>
        <v>0</v>
      </c>
      <c r="Q62" s="30" t="str">
        <f t="shared" si="7"/>
        <v/>
      </c>
    </row>
    <row r="63" spans="9:17">
      <c r="I63" s="27" t="str">
        <f t="shared" si="4"/>
        <v/>
      </c>
      <c r="J63" s="27" t="str">
        <f t="shared" si="5"/>
        <v/>
      </c>
      <c r="O63" s="28" t="str">
        <f t="shared" si="6"/>
        <v/>
      </c>
      <c r="P63" s="29">
        <f>IF(C63="Stock", Settings!$C$4 * K63, IF(C63="Option", Settings!$C$5 * K63, 0))</f>
        <v>0</v>
      </c>
      <c r="Q63" s="30" t="str">
        <f t="shared" si="7"/>
        <v/>
      </c>
    </row>
    <row r="64" spans="9:17">
      <c r="I64" s="27" t="str">
        <f t="shared" si="4"/>
        <v/>
      </c>
      <c r="J64" s="27" t="str">
        <f t="shared" si="5"/>
        <v/>
      </c>
      <c r="O64" s="28" t="str">
        <f t="shared" si="6"/>
        <v/>
      </c>
      <c r="P64" s="29">
        <f>IF(C64="Stock", Settings!$C$4 * K64, IF(C64="Option", Settings!$C$5 * K64, 0))</f>
        <v>0</v>
      </c>
      <c r="Q64" s="30" t="str">
        <f t="shared" si="7"/>
        <v/>
      </c>
    </row>
    <row r="65" spans="9:17">
      <c r="I65" s="27" t="str">
        <f t="shared" si="4"/>
        <v/>
      </c>
      <c r="J65" s="27" t="str">
        <f t="shared" si="5"/>
        <v/>
      </c>
      <c r="O65" s="28" t="str">
        <f t="shared" si="6"/>
        <v/>
      </c>
      <c r="P65" s="29">
        <f>IF(C65="Stock", Settings!$C$4 * K65, IF(C65="Option", Settings!$C$5 * K65, 0))</f>
        <v>0</v>
      </c>
      <c r="Q65" s="30" t="str">
        <f t="shared" si="7"/>
        <v/>
      </c>
    </row>
    <row r="66" spans="9:17">
      <c r="I66" s="27" t="str">
        <f t="shared" ref="I66:I100" si="8">IF(OR(A66="", B66=""), "", INT(B66-A66))</f>
        <v/>
      </c>
      <c r="J66" s="27" t="str">
        <f t="shared" ref="J66:J100" si="9">IF(OR(A66="", H66=""), "", INT(H66-A66))</f>
        <v/>
      </c>
      <c r="O66" s="28" t="str">
        <f t="shared" ref="O66:O97" si="10">IF(OR(L66="", N66="", M66="", M66=L66), "", ROUND(ABS(N66-L66)/ABS(L66-M66), 2))</f>
        <v/>
      </c>
      <c r="P66" s="29">
        <f>IF(C66="Stock", Settings!$C$4 * K66, IF(C66="Option", Settings!$C$5 * K66, 0))</f>
        <v>0</v>
      </c>
      <c r="Q66" s="30" t="str">
        <f t="shared" si="7"/>
        <v/>
      </c>
    </row>
    <row r="67" spans="9:17">
      <c r="I67" s="27" t="str">
        <f t="shared" si="8"/>
        <v/>
      </c>
      <c r="J67" s="27" t="str">
        <f t="shared" si="9"/>
        <v/>
      </c>
      <c r="O67" s="28" t="str">
        <f t="shared" si="10"/>
        <v/>
      </c>
      <c r="P67" s="29">
        <f>IF(C67="Stock", Settings!$C$4 * K67, IF(C67="Option", Settings!$C$5 * K67, 0))</f>
        <v>0</v>
      </c>
      <c r="Q67" s="30" t="str">
        <f t="shared" si="7"/>
        <v/>
      </c>
    </row>
    <row r="68" spans="9:17">
      <c r="I68" s="27" t="str">
        <f t="shared" si="8"/>
        <v/>
      </c>
      <c r="J68" s="27" t="str">
        <f t="shared" si="9"/>
        <v/>
      </c>
      <c r="O68" s="28" t="str">
        <f t="shared" si="10"/>
        <v/>
      </c>
      <c r="P68" s="29">
        <f>IF(C68="Stock", Settings!$C$4 * K68, IF(C68="Option", Settings!$C$5 * K68, 0))</f>
        <v>0</v>
      </c>
      <c r="Q68" s="30" t="str">
        <f t="shared" si="7"/>
        <v/>
      </c>
    </row>
    <row r="69" spans="9:17">
      <c r="I69" s="27" t="str">
        <f t="shared" si="8"/>
        <v/>
      </c>
      <c r="J69" s="27" t="str">
        <f t="shared" si="9"/>
        <v/>
      </c>
      <c r="O69" s="28" t="str">
        <f t="shared" si="10"/>
        <v/>
      </c>
      <c r="P69" s="29">
        <f>IF(C69="Stock", Settings!$C$4 * K69, IF(C69="Option", Settings!$C$5 * K69, 0))</f>
        <v>0</v>
      </c>
      <c r="Q69" s="30" t="str">
        <f t="shared" si="7"/>
        <v/>
      </c>
    </row>
    <row r="70" spans="9:17">
      <c r="I70" s="27" t="str">
        <f t="shared" si="8"/>
        <v/>
      </c>
      <c r="J70" s="27" t="str">
        <f t="shared" si="9"/>
        <v/>
      </c>
      <c r="O70" s="28" t="str">
        <f t="shared" si="10"/>
        <v/>
      </c>
      <c r="P70" s="29">
        <f>IF(C70="Stock", Settings!$C$4 * K70, IF(C70="Option", Settings!$C$5 * K70, 0))</f>
        <v>0</v>
      </c>
      <c r="Q70" s="30" t="str">
        <f t="shared" si="7"/>
        <v/>
      </c>
    </row>
    <row r="71" spans="9:17">
      <c r="I71" s="27" t="str">
        <f t="shared" si="8"/>
        <v/>
      </c>
      <c r="J71" s="27" t="str">
        <f t="shared" si="9"/>
        <v/>
      </c>
      <c r="O71" s="28" t="str">
        <f t="shared" si="10"/>
        <v/>
      </c>
      <c r="P71" s="29">
        <f>IF(C71="Stock", Settings!$C$4 * K71, IF(C71="Option", Settings!$C$5 * K71, 0))</f>
        <v>0</v>
      </c>
      <c r="Q71" s="30" t="str">
        <f t="shared" si="7"/>
        <v/>
      </c>
    </row>
    <row r="72" spans="9:17">
      <c r="I72" s="27" t="str">
        <f t="shared" si="8"/>
        <v/>
      </c>
      <c r="J72" s="27" t="str">
        <f t="shared" si="9"/>
        <v/>
      </c>
      <c r="O72" s="28" t="str">
        <f t="shared" si="10"/>
        <v/>
      </c>
      <c r="P72" s="29">
        <f>IF(C72="Stock", Settings!$C$4 * K72, IF(C72="Option", Settings!$C$5 * K72, 0))</f>
        <v>0</v>
      </c>
      <c r="Q72" s="30" t="str">
        <f t="shared" ref="Q72:Q103" si="11">IF(C72="Stock", IF(E72="Buy/Long", (N72-L72)*K72-P72, (L72-N72)*K72-P72), IF(C72="Option", IF(E72="Buy/Long", (N72-L72)*K72*100-P72, (L72-N72)*K72*100-P72), ""))</f>
        <v/>
      </c>
    </row>
    <row r="73" spans="9:17">
      <c r="I73" s="27" t="str">
        <f t="shared" si="8"/>
        <v/>
      </c>
      <c r="J73" s="27" t="str">
        <f t="shared" si="9"/>
        <v/>
      </c>
      <c r="O73" s="28" t="str">
        <f t="shared" si="10"/>
        <v/>
      </c>
      <c r="P73" s="29">
        <f>IF(C73="Stock", Settings!$C$4 * K73, IF(C73="Option", Settings!$C$5 * K73, 0))</f>
        <v>0</v>
      </c>
      <c r="Q73" s="30" t="str">
        <f t="shared" si="11"/>
        <v/>
      </c>
    </row>
    <row r="74" spans="9:17">
      <c r="I74" s="27" t="str">
        <f t="shared" si="8"/>
        <v/>
      </c>
      <c r="J74" s="27" t="str">
        <f t="shared" si="9"/>
        <v/>
      </c>
      <c r="O74" s="28" t="str">
        <f t="shared" si="10"/>
        <v/>
      </c>
      <c r="P74" s="29">
        <f>IF(C74="Stock", Settings!$C$4 * K74, IF(C74="Option", Settings!$C$5 * K74, 0))</f>
        <v>0</v>
      </c>
      <c r="Q74" s="30" t="str">
        <f t="shared" si="11"/>
        <v/>
      </c>
    </row>
    <row r="75" spans="9:17">
      <c r="I75" s="27" t="str">
        <f t="shared" si="8"/>
        <v/>
      </c>
      <c r="J75" s="27" t="str">
        <f t="shared" si="9"/>
        <v/>
      </c>
      <c r="O75" s="28" t="str">
        <f t="shared" si="10"/>
        <v/>
      </c>
      <c r="P75" s="29">
        <f>IF(C75="Stock", Settings!$C$4 * K75, IF(C75="Option", Settings!$C$5 * K75, 0))</f>
        <v>0</v>
      </c>
      <c r="Q75" s="30" t="str">
        <f t="shared" si="11"/>
        <v/>
      </c>
    </row>
    <row r="76" spans="9:17">
      <c r="I76" s="27" t="str">
        <f t="shared" si="8"/>
        <v/>
      </c>
      <c r="J76" s="27" t="str">
        <f t="shared" si="9"/>
        <v/>
      </c>
      <c r="O76" s="28" t="str">
        <f t="shared" si="10"/>
        <v/>
      </c>
      <c r="P76" s="29">
        <f>IF(C76="Stock", Settings!$C$4 * K76, IF(C76="Option", Settings!$C$5 * K76, 0))</f>
        <v>0</v>
      </c>
      <c r="Q76" s="30" t="str">
        <f t="shared" si="11"/>
        <v/>
      </c>
    </row>
    <row r="77" spans="9:17">
      <c r="I77" s="27" t="str">
        <f t="shared" si="8"/>
        <v/>
      </c>
      <c r="J77" s="27" t="str">
        <f t="shared" si="9"/>
        <v/>
      </c>
      <c r="O77" s="28" t="str">
        <f t="shared" si="10"/>
        <v/>
      </c>
      <c r="P77" s="29">
        <f>IF(C77="Stock", Settings!$C$4 * K77, IF(C77="Option", Settings!$C$5 * K77, 0))</f>
        <v>0</v>
      </c>
      <c r="Q77" s="30" t="str">
        <f t="shared" si="11"/>
        <v/>
      </c>
    </row>
    <row r="78" spans="9:17">
      <c r="I78" s="27" t="str">
        <f t="shared" si="8"/>
        <v/>
      </c>
      <c r="J78" s="27" t="str">
        <f t="shared" si="9"/>
        <v/>
      </c>
      <c r="O78" s="28" t="str">
        <f t="shared" si="10"/>
        <v/>
      </c>
      <c r="P78" s="29">
        <f>IF(C78="Stock", Settings!$C$4 * K78, IF(C78="Option", Settings!$C$5 * K78, 0))</f>
        <v>0</v>
      </c>
      <c r="Q78" s="30" t="str">
        <f t="shared" si="11"/>
        <v/>
      </c>
    </row>
    <row r="79" spans="9:17">
      <c r="I79" s="27" t="str">
        <f t="shared" si="8"/>
        <v/>
      </c>
      <c r="J79" s="27" t="str">
        <f t="shared" si="9"/>
        <v/>
      </c>
      <c r="O79" s="28" t="str">
        <f t="shared" si="10"/>
        <v/>
      </c>
      <c r="P79" s="29">
        <f>IF(C79="Stock", Settings!$C$4 * K79, IF(C79="Option", Settings!$C$5 * K79, 0))</f>
        <v>0</v>
      </c>
      <c r="Q79" s="30" t="str">
        <f t="shared" si="11"/>
        <v/>
      </c>
    </row>
    <row r="80" spans="9:17">
      <c r="I80" s="27" t="str">
        <f t="shared" si="8"/>
        <v/>
      </c>
      <c r="J80" s="27" t="str">
        <f t="shared" si="9"/>
        <v/>
      </c>
      <c r="O80" s="28" t="str">
        <f t="shared" si="10"/>
        <v/>
      </c>
      <c r="P80" s="29">
        <f>IF(C80="Stock", Settings!$C$4 * K80, IF(C80="Option", Settings!$C$5 * K80, 0))</f>
        <v>0</v>
      </c>
      <c r="Q80" s="30" t="str">
        <f t="shared" si="11"/>
        <v/>
      </c>
    </row>
    <row r="81" spans="9:17">
      <c r="I81" s="27" t="str">
        <f t="shared" si="8"/>
        <v/>
      </c>
      <c r="J81" s="27" t="str">
        <f t="shared" si="9"/>
        <v/>
      </c>
      <c r="O81" s="28" t="str">
        <f t="shared" si="10"/>
        <v/>
      </c>
      <c r="P81" s="29">
        <f>IF(C81="Stock", Settings!$C$4 * K81, IF(C81="Option", Settings!$C$5 * K81, 0))</f>
        <v>0</v>
      </c>
      <c r="Q81" s="30" t="str">
        <f t="shared" si="11"/>
        <v/>
      </c>
    </row>
    <row r="82" spans="9:17">
      <c r="I82" s="27" t="str">
        <f t="shared" si="8"/>
        <v/>
      </c>
      <c r="J82" s="27" t="str">
        <f t="shared" si="9"/>
        <v/>
      </c>
      <c r="O82" s="28" t="str">
        <f t="shared" si="10"/>
        <v/>
      </c>
      <c r="P82" s="29">
        <f>IF(C82="Stock", Settings!$C$4 * K82, IF(C82="Option", Settings!$C$5 * K82, 0))</f>
        <v>0</v>
      </c>
      <c r="Q82" s="30" t="str">
        <f t="shared" si="11"/>
        <v/>
      </c>
    </row>
    <row r="83" spans="9:17">
      <c r="I83" s="27" t="str">
        <f t="shared" si="8"/>
        <v/>
      </c>
      <c r="J83" s="27" t="str">
        <f t="shared" si="9"/>
        <v/>
      </c>
      <c r="O83" s="28" t="str">
        <f t="shared" si="10"/>
        <v/>
      </c>
      <c r="P83" s="29">
        <f>IF(C83="Stock", Settings!$C$4 * K83, IF(C83="Option", Settings!$C$5 * K83, 0))</f>
        <v>0</v>
      </c>
      <c r="Q83" s="30" t="str">
        <f t="shared" si="11"/>
        <v/>
      </c>
    </row>
    <row r="84" spans="9:17">
      <c r="I84" s="27" t="str">
        <f t="shared" si="8"/>
        <v/>
      </c>
      <c r="J84" s="27" t="str">
        <f t="shared" si="9"/>
        <v/>
      </c>
      <c r="O84" s="28" t="str">
        <f t="shared" si="10"/>
        <v/>
      </c>
      <c r="P84" s="29">
        <f>IF(C84="Stock", Settings!$C$4 * K84, IF(C84="Option", Settings!$C$5 * K84, 0))</f>
        <v>0</v>
      </c>
      <c r="Q84" s="30" t="str">
        <f t="shared" si="11"/>
        <v/>
      </c>
    </row>
    <row r="85" spans="9:17">
      <c r="I85" s="27" t="str">
        <f t="shared" si="8"/>
        <v/>
      </c>
      <c r="J85" s="27" t="str">
        <f t="shared" si="9"/>
        <v/>
      </c>
      <c r="O85" s="28" t="str">
        <f t="shared" si="10"/>
        <v/>
      </c>
      <c r="P85" s="29">
        <f>IF(C85="Stock", Settings!$C$4 * K85, IF(C85="Option", Settings!$C$5 * K85, 0))</f>
        <v>0</v>
      </c>
      <c r="Q85" s="30" t="str">
        <f t="shared" si="11"/>
        <v/>
      </c>
    </row>
    <row r="86" spans="9:17">
      <c r="I86" s="27" t="str">
        <f t="shared" si="8"/>
        <v/>
      </c>
      <c r="J86" s="27" t="str">
        <f t="shared" si="9"/>
        <v/>
      </c>
      <c r="O86" s="28" t="str">
        <f t="shared" si="10"/>
        <v/>
      </c>
      <c r="P86" s="29">
        <f>IF(C86="Stock", Settings!$C$4 * K86, IF(C86="Option", Settings!$C$5 * K86, 0))</f>
        <v>0</v>
      </c>
      <c r="Q86" s="30" t="str">
        <f t="shared" si="11"/>
        <v/>
      </c>
    </row>
    <row r="87" spans="9:17">
      <c r="I87" s="27" t="str">
        <f t="shared" si="8"/>
        <v/>
      </c>
      <c r="J87" s="27" t="str">
        <f t="shared" si="9"/>
        <v/>
      </c>
      <c r="O87" s="28" t="str">
        <f t="shared" si="10"/>
        <v/>
      </c>
      <c r="P87" s="29">
        <f>IF(C87="Stock", Settings!$C$4 * K87, IF(C87="Option", Settings!$C$5 * K87, 0))</f>
        <v>0</v>
      </c>
      <c r="Q87" s="30" t="str">
        <f t="shared" si="11"/>
        <v/>
      </c>
    </row>
    <row r="88" spans="9:17">
      <c r="I88" s="27" t="str">
        <f t="shared" si="8"/>
        <v/>
      </c>
      <c r="J88" s="27" t="str">
        <f t="shared" si="9"/>
        <v/>
      </c>
      <c r="O88" s="28" t="str">
        <f t="shared" si="10"/>
        <v/>
      </c>
      <c r="P88" s="29">
        <f>IF(C88="Stock", Settings!$C$4 * K88, IF(C88="Option", Settings!$C$5 * K88, 0))</f>
        <v>0</v>
      </c>
      <c r="Q88" s="30" t="str">
        <f t="shared" si="11"/>
        <v/>
      </c>
    </row>
    <row r="89" spans="9:17">
      <c r="I89" s="27" t="str">
        <f t="shared" si="8"/>
        <v/>
      </c>
      <c r="J89" s="27" t="str">
        <f t="shared" si="9"/>
        <v/>
      </c>
      <c r="O89" s="28" t="str">
        <f t="shared" si="10"/>
        <v/>
      </c>
      <c r="P89" s="29">
        <f>IF(C89="Stock", Settings!$C$4 * K89, IF(C89="Option", Settings!$C$5 * K89, 0))</f>
        <v>0</v>
      </c>
      <c r="Q89" s="30" t="str">
        <f t="shared" si="11"/>
        <v/>
      </c>
    </row>
    <row r="90" spans="9:17">
      <c r="I90" s="27" t="str">
        <f t="shared" si="8"/>
        <v/>
      </c>
      <c r="J90" s="27" t="str">
        <f t="shared" si="9"/>
        <v/>
      </c>
      <c r="O90" s="28" t="str">
        <f t="shared" si="10"/>
        <v/>
      </c>
      <c r="P90" s="29">
        <f>IF(C90="Stock", Settings!$C$4 * K90, IF(C90="Option", Settings!$C$5 * K90, 0))</f>
        <v>0</v>
      </c>
      <c r="Q90" s="30" t="str">
        <f t="shared" si="11"/>
        <v/>
      </c>
    </row>
    <row r="91" spans="9:17">
      <c r="I91" s="27" t="str">
        <f t="shared" si="8"/>
        <v/>
      </c>
      <c r="J91" s="27" t="str">
        <f t="shared" si="9"/>
        <v/>
      </c>
      <c r="O91" s="28" t="str">
        <f t="shared" si="10"/>
        <v/>
      </c>
      <c r="P91" s="29">
        <f>IF(C91="Stock", Settings!$C$4 * K91, IF(C91="Option", Settings!$C$5 * K91, 0))</f>
        <v>0</v>
      </c>
      <c r="Q91" s="30" t="str">
        <f t="shared" si="11"/>
        <v/>
      </c>
    </row>
    <row r="92" spans="9:17">
      <c r="I92" s="27" t="str">
        <f t="shared" si="8"/>
        <v/>
      </c>
      <c r="J92" s="27" t="str">
        <f t="shared" si="9"/>
        <v/>
      </c>
      <c r="O92" s="28" t="str">
        <f t="shared" si="10"/>
        <v/>
      </c>
      <c r="P92" s="29">
        <f>IF(C92="Stock", Settings!$C$4 * K92, IF(C92="Option", Settings!$C$5 * K92, 0))</f>
        <v>0</v>
      </c>
      <c r="Q92" s="30" t="str">
        <f t="shared" si="11"/>
        <v/>
      </c>
    </row>
    <row r="93" spans="9:17">
      <c r="I93" s="27" t="str">
        <f t="shared" si="8"/>
        <v/>
      </c>
      <c r="J93" s="27" t="str">
        <f t="shared" si="9"/>
        <v/>
      </c>
      <c r="O93" s="28" t="str">
        <f t="shared" si="10"/>
        <v/>
      </c>
      <c r="P93" s="29">
        <f>IF(C93="Stock", Settings!$C$4 * K93, IF(C93="Option", Settings!$C$5 * K93, 0))</f>
        <v>0</v>
      </c>
      <c r="Q93" s="30" t="str">
        <f t="shared" si="11"/>
        <v/>
      </c>
    </row>
    <row r="94" spans="9:17">
      <c r="I94" s="27" t="str">
        <f t="shared" si="8"/>
        <v/>
      </c>
      <c r="J94" s="27" t="str">
        <f t="shared" si="9"/>
        <v/>
      </c>
      <c r="O94" s="28" t="str">
        <f t="shared" si="10"/>
        <v/>
      </c>
      <c r="P94" s="29">
        <f>IF(C94="Stock", Settings!$C$4 * K94, IF(C94="Option", Settings!$C$5 * K94, 0))</f>
        <v>0</v>
      </c>
      <c r="Q94" s="30" t="str">
        <f t="shared" si="11"/>
        <v/>
      </c>
    </row>
    <row r="95" spans="9:17">
      <c r="I95" s="27" t="str">
        <f t="shared" si="8"/>
        <v/>
      </c>
      <c r="J95" s="27" t="str">
        <f t="shared" si="9"/>
        <v/>
      </c>
      <c r="O95" s="28" t="str">
        <f t="shared" si="10"/>
        <v/>
      </c>
      <c r="P95" s="29">
        <f>IF(C95="Stock", Settings!$C$4 * K95, IF(C95="Option", Settings!$C$5 * K95, 0))</f>
        <v>0</v>
      </c>
      <c r="Q95" s="30" t="str">
        <f t="shared" si="11"/>
        <v/>
      </c>
    </row>
    <row r="96" spans="9:17">
      <c r="I96" s="27" t="str">
        <f t="shared" si="8"/>
        <v/>
      </c>
      <c r="J96" s="27" t="str">
        <f t="shared" si="9"/>
        <v/>
      </c>
      <c r="O96" s="28" t="str">
        <f t="shared" si="10"/>
        <v/>
      </c>
      <c r="P96" s="29">
        <f>IF(C96="Stock", Settings!$C$4 * K96, IF(C96="Option", Settings!$C$5 * K96, 0))</f>
        <v>0</v>
      </c>
      <c r="Q96" s="30" t="str">
        <f t="shared" si="11"/>
        <v/>
      </c>
    </row>
    <row r="97" spans="9:17">
      <c r="I97" s="27" t="str">
        <f t="shared" si="8"/>
        <v/>
      </c>
      <c r="J97" s="27" t="str">
        <f t="shared" si="9"/>
        <v/>
      </c>
      <c r="O97" s="28" t="str">
        <f t="shared" si="10"/>
        <v/>
      </c>
      <c r="P97" s="29">
        <f>IF(C97="Stock", Settings!$C$4 * K97, IF(C97="Option", Settings!$C$5 * K97, 0))</f>
        <v>0</v>
      </c>
      <c r="Q97" s="30" t="str">
        <f t="shared" si="11"/>
        <v/>
      </c>
    </row>
    <row r="98" spans="9:17">
      <c r="I98" s="27" t="str">
        <f t="shared" si="8"/>
        <v/>
      </c>
      <c r="J98" s="27" t="str">
        <f t="shared" si="9"/>
        <v/>
      </c>
      <c r="O98" s="28" t="str">
        <f t="shared" ref="O98:O129" si="12">IF(OR(L98="", N98="", M98="", M98=L98), "", ROUND(ABS(N98-L98)/ABS(L98-M98), 2))</f>
        <v/>
      </c>
      <c r="P98" s="29">
        <f>IF(C98="Stock", Settings!$C$4 * K98, IF(C98="Option", Settings!$C$5 * K98, 0))</f>
        <v>0</v>
      </c>
      <c r="Q98" s="30" t="str">
        <f t="shared" si="11"/>
        <v/>
      </c>
    </row>
    <row r="99" spans="9:17">
      <c r="I99" s="27" t="str">
        <f t="shared" si="8"/>
        <v/>
      </c>
      <c r="J99" s="27" t="str">
        <f t="shared" si="9"/>
        <v/>
      </c>
      <c r="O99" s="28" t="str">
        <f t="shared" si="12"/>
        <v/>
      </c>
      <c r="P99" s="29">
        <f>IF(C99="Stock", Settings!$C$4 * K99, IF(C99="Option", Settings!$C$5 * K99, 0))</f>
        <v>0</v>
      </c>
      <c r="Q99" s="30" t="str">
        <f t="shared" si="11"/>
        <v/>
      </c>
    </row>
    <row r="100" spans="9:17">
      <c r="I100" s="27" t="str">
        <f t="shared" si="8"/>
        <v/>
      </c>
      <c r="J100" s="27" t="str">
        <f t="shared" si="9"/>
        <v/>
      </c>
      <c r="O100" s="28" t="str">
        <f t="shared" si="12"/>
        <v/>
      </c>
      <c r="P100" s="29">
        <f>IF(C100="Stock", Settings!$C$4 * K100, IF(C100="Option", Settings!$C$5 * K100, 0))</f>
        <v>0</v>
      </c>
      <c r="Q100" s="30" t="str">
        <f t="shared" si="11"/>
        <v/>
      </c>
    </row>
  </sheetData>
  <dataValidations count="4">
    <dataValidation type="list" allowBlank="1" sqref="C2:C100" xr:uid="{00000000-0002-0000-0200-000000000000}">
      <formula1>"Stock,Option"</formula1>
    </dataValidation>
    <dataValidation type="list" allowBlank="1" sqref="E2:E100" xr:uid="{00000000-0002-0000-0200-000002000000}">
      <formula1>"Buy/Long,Sell/Short"</formula1>
    </dataValidation>
    <dataValidation type="list" allowBlank="1" sqref="F2:F100" xr:uid="{00000000-0002-0000-0200-000004000000}">
      <formula1>"N/A,Single Option,Credit Spread,Debit Spread,Calendar Spread,Diagonal Spread,Iron Condor,Covered Call,Cash Secured Put"</formula1>
    </dataValidation>
    <dataValidation type="list" allowBlank="1" sqref="P2:Q100" xr:uid="{00000000-0002-0000-0200-000006000000}">
      <formula1>"Calm,FOMO,Greed,Fear,Stressed,Neutral"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4"/>
  <sheetViews>
    <sheetView workbookViewId="0"/>
  </sheetViews>
  <sheetFormatPr defaultRowHeight="14.4"/>
  <cols>
    <col min="1" max="1" width="13" customWidth="1"/>
    <col min="2" max="8" width="15" customWidth="1"/>
    <col min="9" max="9" width="20" customWidth="1"/>
  </cols>
  <sheetData>
    <row r="2" spans="2:9" ht="20.399999999999999">
      <c r="B2" s="1" t="str">
        <f ca="1">"DAILY TRADING P&amp;L CALENDAR - " &amp; TEXT(TODAY(), "MMMM YYYY")</f>
        <v>DAILY TRADING P&amp;L CALENDAR - May 2026</v>
      </c>
    </row>
    <row r="4" spans="2:9" ht="15">
      <c r="B4" s="31" t="s">
        <v>73</v>
      </c>
      <c r="C4" s="31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1" t="s">
        <v>79</v>
      </c>
      <c r="I4" s="7" t="s">
        <v>80</v>
      </c>
    </row>
    <row r="5" spans="2:9" ht="18" customHeight="1">
      <c r="B5" s="32">
        <f ca="1">DATE(YEAR(TODAY()), MONTH(TODAY()), 1) - WEEKDAY(DATE(YEAR(TODAY()), MONTH(TODAY()), 1)) + 1</f>
        <v>46138</v>
      </c>
      <c r="C5" s="32">
        <f t="shared" ref="C5:H5" ca="1" si="0">B5+1</f>
        <v>46139</v>
      </c>
      <c r="D5" s="32">
        <f t="shared" ca="1" si="0"/>
        <v>46140</v>
      </c>
      <c r="E5" s="32">
        <f t="shared" ca="1" si="0"/>
        <v>46141</v>
      </c>
      <c r="F5" s="32">
        <f t="shared" ca="1" si="0"/>
        <v>46142</v>
      </c>
      <c r="G5" s="32">
        <f t="shared" ca="1" si="0"/>
        <v>46143</v>
      </c>
      <c r="H5" s="32">
        <f t="shared" ca="1" si="0"/>
        <v>46144</v>
      </c>
      <c r="I5" s="9">
        <f ca="1">SUM(B6:H6, B8:H8, B10:H10, B12:H12, B14:H14)</f>
        <v>1961.3499999999985</v>
      </c>
    </row>
    <row r="6" spans="2:9" ht="24" customHeight="1">
      <c r="B6" s="33">
        <f ca="1">SUMIFS('Trade Log'!Q:Q, 'Trade Log'!A:A, "&gt;="&amp;B5, 'Trade Log'!A:A, "&lt;"&amp;(B5+1))</f>
        <v>0</v>
      </c>
      <c r="C6" s="33">
        <f ca="1">SUMIFS('Trade Log'!Q:Q, 'Trade Log'!A:A, "&gt;="&amp;C5, 'Trade Log'!A:A, "&lt;"&amp;(C5+1))</f>
        <v>0</v>
      </c>
      <c r="D6" s="33">
        <f ca="1">SUMIFS('Trade Log'!Q:Q, 'Trade Log'!A:A, "&gt;="&amp;D5, 'Trade Log'!A:A, "&lt;"&amp;(D5+1))</f>
        <v>0</v>
      </c>
      <c r="E6" s="33">
        <f ca="1">SUMIFS('Trade Log'!Q:Q, 'Trade Log'!A:A, "&gt;="&amp;E5, 'Trade Log'!A:A, "&lt;"&amp;(E5+1))</f>
        <v>0</v>
      </c>
      <c r="F6" s="33">
        <f ca="1">SUMIFS('Trade Log'!Q:Q, 'Trade Log'!A:A, "&gt;="&amp;F5, 'Trade Log'!A:A, "&lt;"&amp;(F5+1))</f>
        <v>0</v>
      </c>
      <c r="G6" s="33">
        <f ca="1">SUMIFS('Trade Log'!Q:Q, 'Trade Log'!A:A, "&gt;="&amp;G5, 'Trade Log'!A:A, "&lt;"&amp;(G5+1))</f>
        <v>0</v>
      </c>
      <c r="H6" s="33">
        <f ca="1">SUMIFS('Trade Log'!Q:Q, 'Trade Log'!A:A, "&gt;="&amp;H5, 'Trade Log'!A:A, "&lt;"&amp;(H5+1))</f>
        <v>0</v>
      </c>
    </row>
    <row r="7" spans="2:9" ht="18" customHeight="1">
      <c r="B7" s="32">
        <f ca="1">H5+1</f>
        <v>46145</v>
      </c>
      <c r="C7" s="32">
        <f t="shared" ref="C7:H7" ca="1" si="1">B7+1</f>
        <v>46146</v>
      </c>
      <c r="D7" s="32">
        <f t="shared" ca="1" si="1"/>
        <v>46147</v>
      </c>
      <c r="E7" s="32">
        <f t="shared" ca="1" si="1"/>
        <v>46148</v>
      </c>
      <c r="F7" s="32">
        <f t="shared" ca="1" si="1"/>
        <v>46149</v>
      </c>
      <c r="G7" s="32">
        <f t="shared" ca="1" si="1"/>
        <v>46150</v>
      </c>
      <c r="H7" s="32">
        <f t="shared" ca="1" si="1"/>
        <v>46151</v>
      </c>
    </row>
    <row r="8" spans="2:9" ht="24" customHeight="1">
      <c r="B8" s="33">
        <f ca="1">SUMIFS('Trade Log'!Q:Q, 'Trade Log'!A:A, "&gt;="&amp;B7, 'Trade Log'!A:A, "&lt;"&amp;(B7+1))</f>
        <v>0</v>
      </c>
      <c r="C8" s="33">
        <f ca="1">SUMIFS('Trade Log'!Q:Q, 'Trade Log'!A:A, "&gt;="&amp;C7, 'Trade Log'!A:A, "&lt;"&amp;(C7+1))</f>
        <v>0</v>
      </c>
      <c r="D8" s="33">
        <f ca="1">SUMIFS('Trade Log'!Q:Q, 'Trade Log'!A:A, "&gt;="&amp;D7, 'Trade Log'!A:A, "&lt;"&amp;(D7+1))</f>
        <v>0</v>
      </c>
      <c r="E8" s="33">
        <f ca="1">SUMIFS('Trade Log'!Q:Q, 'Trade Log'!A:A, "&gt;="&amp;E7, 'Trade Log'!A:A, "&lt;"&amp;(E7+1))</f>
        <v>0</v>
      </c>
      <c r="F8" s="33">
        <f ca="1">SUMIFS('Trade Log'!Q:Q, 'Trade Log'!A:A, "&gt;="&amp;F7, 'Trade Log'!A:A, "&lt;"&amp;(F7+1))</f>
        <v>0</v>
      </c>
      <c r="G8" s="33">
        <f ca="1">SUMIFS('Trade Log'!Q:Q, 'Trade Log'!A:A, "&gt;="&amp;G7, 'Trade Log'!A:A, "&lt;"&amp;(G7+1))</f>
        <v>0</v>
      </c>
      <c r="H8" s="33">
        <f ca="1">SUMIFS('Trade Log'!Q:Q, 'Trade Log'!A:A, "&gt;="&amp;H7, 'Trade Log'!A:A, "&lt;"&amp;(H7+1))</f>
        <v>0</v>
      </c>
    </row>
    <row r="9" spans="2:9" ht="18" customHeight="1">
      <c r="B9" s="32">
        <f ca="1">H7+1</f>
        <v>46152</v>
      </c>
      <c r="C9" s="32">
        <f t="shared" ref="C9:H9" ca="1" si="2">B9+1</f>
        <v>46153</v>
      </c>
      <c r="D9" s="32">
        <f t="shared" ca="1" si="2"/>
        <v>46154</v>
      </c>
      <c r="E9" s="32">
        <f t="shared" ca="1" si="2"/>
        <v>46155</v>
      </c>
      <c r="F9" s="32">
        <f t="shared" ca="1" si="2"/>
        <v>46156</v>
      </c>
      <c r="G9" s="32">
        <f t="shared" ca="1" si="2"/>
        <v>46157</v>
      </c>
      <c r="H9" s="32">
        <f t="shared" ca="1" si="2"/>
        <v>46158</v>
      </c>
    </row>
    <row r="10" spans="2:9" ht="24" customHeight="1">
      <c r="B10" s="33">
        <f ca="1">SUMIFS('Trade Log'!Q:Q, 'Trade Log'!A:A, "&gt;="&amp;B9, 'Trade Log'!A:A, "&lt;"&amp;(B9+1))</f>
        <v>569.99999999999886</v>
      </c>
      <c r="C10" s="33">
        <f ca="1">SUMIFS('Trade Log'!Q:Q, 'Trade Log'!A:A, "&gt;="&amp;C9, 'Trade Log'!A:A, "&lt;"&amp;(C9+1))</f>
        <v>0</v>
      </c>
      <c r="D10" s="33">
        <f ca="1">SUMIFS('Trade Log'!Q:Q, 'Trade Log'!A:A, "&gt;="&amp;D9, 'Trade Log'!A:A, "&lt;"&amp;(D9+1))</f>
        <v>846.75</v>
      </c>
      <c r="E10" s="33">
        <f ca="1">SUMIFS('Trade Log'!Q:Q, 'Trade Log'!A:A, "&gt;="&amp;E9, 'Trade Log'!A:A, "&lt;"&amp;(E9+1))</f>
        <v>0</v>
      </c>
      <c r="F10" s="33">
        <f ca="1">SUMIFS('Trade Log'!Q:Q, 'Trade Log'!A:A, "&gt;="&amp;F9, 'Trade Log'!A:A, "&lt;"&amp;(F9+1))</f>
        <v>893.5</v>
      </c>
      <c r="G10" s="33">
        <f ca="1">SUMIFS('Trade Log'!Q:Q, 'Trade Log'!A:A, "&gt;="&amp;G9, 'Trade Log'!A:A, "&lt;"&amp;(G9+1))</f>
        <v>0</v>
      </c>
      <c r="H10" s="33">
        <f ca="1">SUMIFS('Trade Log'!Q:Q, 'Trade Log'!A:A, "&gt;="&amp;H9, 'Trade Log'!A:A, "&lt;"&amp;(H9+1))</f>
        <v>0</v>
      </c>
    </row>
    <row r="11" spans="2:9" ht="18" customHeight="1">
      <c r="B11" s="32">
        <f ca="1">H9+1</f>
        <v>46159</v>
      </c>
      <c r="C11" s="32">
        <f t="shared" ref="C11:H11" ca="1" si="3">B11+1</f>
        <v>46160</v>
      </c>
      <c r="D11" s="32">
        <f t="shared" ca="1" si="3"/>
        <v>46161</v>
      </c>
      <c r="E11" s="32">
        <f t="shared" ca="1" si="3"/>
        <v>46162</v>
      </c>
      <c r="F11" s="32">
        <f t="shared" ca="1" si="3"/>
        <v>46163</v>
      </c>
      <c r="G11" s="32">
        <f t="shared" ca="1" si="3"/>
        <v>46164</v>
      </c>
      <c r="H11" s="32">
        <f t="shared" ca="1" si="3"/>
        <v>46165</v>
      </c>
    </row>
    <row r="12" spans="2:9" ht="24" customHeight="1">
      <c r="B12" s="33">
        <f ca="1">SUMIFS('Trade Log'!Q:Q, 'Trade Log'!A:A, "&gt;="&amp;B11, 'Trade Log'!A:A, "&lt;"&amp;(B11+1))</f>
        <v>0</v>
      </c>
      <c r="C12" s="33">
        <f ca="1">SUMIFS('Trade Log'!Q:Q, 'Trade Log'!A:A, "&gt;="&amp;C11, 'Trade Log'!A:A, "&lt;"&amp;(C11+1))</f>
        <v>517.39999999999986</v>
      </c>
      <c r="D12" s="33">
        <f ca="1">SUMIFS('Trade Log'!Q:Q, 'Trade Log'!A:A, "&gt;="&amp;D11, 'Trade Log'!A:A, "&lt;"&amp;(D11+1))</f>
        <v>0</v>
      </c>
      <c r="E12" s="33">
        <f ca="1">SUMIFS('Trade Log'!Q:Q, 'Trade Log'!A:A, "&gt;="&amp;E11, 'Trade Log'!A:A, "&lt;"&amp;(E11+1))</f>
        <v>-541.29999999999995</v>
      </c>
      <c r="F12" s="33">
        <f ca="1">SUMIFS('Trade Log'!Q:Q, 'Trade Log'!A:A, "&gt;="&amp;F11, 'Trade Log'!A:A, "&lt;"&amp;(F11+1))</f>
        <v>0</v>
      </c>
      <c r="G12" s="33">
        <f ca="1">SUMIFS('Trade Log'!Q:Q, 'Trade Log'!A:A, "&gt;="&amp;G11, 'Trade Log'!A:A, "&lt;"&amp;(G11+1))</f>
        <v>-325</v>
      </c>
      <c r="H12" s="33">
        <f ca="1">SUMIFS('Trade Log'!Q:Q, 'Trade Log'!A:A, "&gt;="&amp;H11, 'Trade Log'!A:A, "&lt;"&amp;(H11+1))</f>
        <v>0</v>
      </c>
    </row>
    <row r="13" spans="2:9" ht="18" customHeight="1">
      <c r="B13" s="32">
        <f ca="1">H11+1</f>
        <v>46166</v>
      </c>
      <c r="C13" s="32">
        <f t="shared" ref="C13:H13" ca="1" si="4">B13+1</f>
        <v>46167</v>
      </c>
      <c r="D13" s="32">
        <f t="shared" ca="1" si="4"/>
        <v>46168</v>
      </c>
      <c r="E13" s="32">
        <f t="shared" ca="1" si="4"/>
        <v>46169</v>
      </c>
      <c r="F13" s="32">
        <f t="shared" ca="1" si="4"/>
        <v>46170</v>
      </c>
      <c r="G13" s="32">
        <f t="shared" ca="1" si="4"/>
        <v>46171</v>
      </c>
      <c r="H13" s="32">
        <f t="shared" ca="1" si="4"/>
        <v>46172</v>
      </c>
    </row>
    <row r="14" spans="2:9" ht="24" customHeight="1">
      <c r="B14" s="33">
        <f ca="1">SUMIFS('Trade Log'!Q:Q, 'Trade Log'!A:A, "&gt;="&amp;B13, 'Trade Log'!A:A, "&lt;"&amp;(B13+1))</f>
        <v>0</v>
      </c>
      <c r="C14" s="33">
        <f ca="1">SUMIFS('Trade Log'!Q:Q, 'Trade Log'!A:A, "&gt;="&amp;C13, 'Trade Log'!A:A, "&lt;"&amp;(C13+1))</f>
        <v>0</v>
      </c>
      <c r="D14" s="33">
        <f ca="1">SUMIFS('Trade Log'!Q:Q, 'Trade Log'!A:A, "&gt;="&amp;D13, 'Trade Log'!A:A, "&lt;"&amp;(D13+1))</f>
        <v>0</v>
      </c>
      <c r="E14" s="33">
        <f ca="1">SUMIFS('Trade Log'!Q:Q, 'Trade Log'!A:A, "&gt;="&amp;E13, 'Trade Log'!A:A, "&lt;"&amp;(E13+1))</f>
        <v>0</v>
      </c>
      <c r="F14" s="33">
        <f ca="1">SUMIFS('Trade Log'!Q:Q, 'Trade Log'!A:A, "&gt;="&amp;F13, 'Trade Log'!A:A, "&lt;"&amp;(F13+1))</f>
        <v>0</v>
      </c>
      <c r="G14" s="33">
        <f ca="1">SUMIFS('Trade Log'!Q:Q, 'Trade Log'!A:A, "&gt;="&amp;G13, 'Trade Log'!A:A, "&lt;"&amp;(G13+1))</f>
        <v>0</v>
      </c>
      <c r="H14" s="33">
        <f ca="1">SUMIFS('Trade Log'!Q:Q, 'Trade Log'!A:A, "&gt;="&amp;H13, 'Trade Log'!A:A, "&lt;"&amp;(H13+1))</f>
        <v>0</v>
      </c>
    </row>
  </sheetData>
  <conditionalFormatting sqref="B6:H6">
    <cfRule type="cellIs" dxfId="15" priority="1" operator="greaterThan">
      <formula>0</formula>
    </cfRule>
    <cfRule type="cellIs" dxfId="14" priority="2" operator="lessThan">
      <formula>0</formula>
    </cfRule>
  </conditionalFormatting>
  <conditionalFormatting sqref="B8:H8">
    <cfRule type="cellIs" dxfId="13" priority="3" operator="greaterThan">
      <formula>0</formula>
    </cfRule>
    <cfRule type="cellIs" dxfId="12" priority="4" operator="lessThan">
      <formula>0</formula>
    </cfRule>
  </conditionalFormatting>
  <conditionalFormatting sqref="B10:H10">
    <cfRule type="cellIs" dxfId="11" priority="5" operator="greaterThan">
      <formula>0</formula>
    </cfRule>
    <cfRule type="cellIs" dxfId="10" priority="6" operator="lessThan">
      <formula>0</formula>
    </cfRule>
  </conditionalFormatting>
  <conditionalFormatting sqref="B12:H12">
    <cfRule type="cellIs" dxfId="9" priority="7" operator="greaterThan">
      <formula>0</formula>
    </cfRule>
    <cfRule type="cellIs" dxfId="8" priority="8" operator="lessThan">
      <formula>0</formula>
    </cfRule>
  </conditionalFormatting>
  <conditionalFormatting sqref="B14:H14">
    <cfRule type="cellIs" dxfId="7" priority="9" operator="greaterThan">
      <formula>0</formula>
    </cfRule>
    <cfRule type="cellIs" dxfId="6" priority="10" operator="less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12"/>
  <sheetViews>
    <sheetView workbookViewId="0"/>
  </sheetViews>
  <sheetFormatPr defaultRowHeight="14.4"/>
  <cols>
    <col min="1" max="1" width="13" customWidth="1"/>
    <col min="2" max="9" width="16" customWidth="1"/>
    <col min="10" max="10" width="20" customWidth="1"/>
  </cols>
  <sheetData>
    <row r="2" spans="2:10" ht="20.399999999999999">
      <c r="B2" s="1" t="str">
        <f ca="1">"YEARLY PERFORMANCE REVIEW - " &amp; YEAR(TODAY())</f>
        <v>YEARLY PERFORMANCE REVIEW - 2026</v>
      </c>
    </row>
    <row r="5" spans="2:10" ht="18" customHeight="1">
      <c r="B5" s="34" t="s">
        <v>81</v>
      </c>
      <c r="D5" s="34" t="s">
        <v>82</v>
      </c>
      <c r="F5" s="34" t="s">
        <v>83</v>
      </c>
      <c r="H5" s="34" t="s">
        <v>84</v>
      </c>
      <c r="J5" s="7" t="s">
        <v>85</v>
      </c>
    </row>
    <row r="6" spans="2:10" ht="28.05" customHeight="1">
      <c r="B6" s="35">
        <f ca="1">SUMIFS('Trade Log'!Q:Q, 'Trade Log'!A:A, "&gt;="&amp;DATE(YEAR(TODAY()),1,1), 'Trade Log'!A:A, "&lt;"&amp;DATE(YEAR(TODAY()),2,1))</f>
        <v>0</v>
      </c>
      <c r="D6" s="35">
        <f ca="1">SUMIFS('Trade Log'!Q:Q, 'Trade Log'!A:A, "&gt;="&amp;DATE(YEAR(TODAY()),2,1), 'Trade Log'!A:A, "&lt;"&amp;DATE(YEAR(TODAY()),3,1))</f>
        <v>0</v>
      </c>
      <c r="F6" s="35">
        <f ca="1">SUMIFS('Trade Log'!Q:Q, 'Trade Log'!A:A, "&gt;="&amp;DATE(YEAR(TODAY()),3,1), 'Trade Log'!A:A, "&lt;"&amp;DATE(YEAR(TODAY()),4,1))</f>
        <v>0</v>
      </c>
      <c r="H6" s="35">
        <f ca="1">SUMIFS('Trade Log'!Q:Q, 'Trade Log'!A:A, "&gt;="&amp;DATE(YEAR(TODAY()),4,1), 'Trade Log'!A:A, "&lt;"&amp;DATE(YEAR(TODAY()),5,1))</f>
        <v>0</v>
      </c>
      <c r="J6" s="9">
        <f ca="1">SUM(B6, D6, F6, H6, B9, D9, F9, H9, B12, D12, F12, H12)</f>
        <v>1961.3499999999985</v>
      </c>
    </row>
    <row r="8" spans="2:10" ht="18" customHeight="1">
      <c r="B8" s="34" t="s">
        <v>86</v>
      </c>
      <c r="D8" s="34" t="s">
        <v>87</v>
      </c>
      <c r="F8" s="34" t="s">
        <v>88</v>
      </c>
      <c r="H8" s="34" t="s">
        <v>89</v>
      </c>
    </row>
    <row r="9" spans="2:10" ht="28.05" customHeight="1">
      <c r="B9" s="35">
        <f ca="1">SUMIFS('Trade Log'!Q:Q, 'Trade Log'!A:A, "&gt;="&amp;DATE(YEAR(TODAY()),5,1), 'Trade Log'!A:A, "&lt;"&amp;DATE(YEAR(TODAY()),6,1))</f>
        <v>1961.3499999999985</v>
      </c>
      <c r="D9" s="35">
        <f ca="1">SUMIFS('Trade Log'!Q:Q, 'Trade Log'!A:A, "&gt;="&amp;DATE(YEAR(TODAY()),6,1), 'Trade Log'!A:A, "&lt;"&amp;DATE(YEAR(TODAY()),7,1))</f>
        <v>0</v>
      </c>
      <c r="F9" s="35">
        <f ca="1">SUMIFS('Trade Log'!Q:Q, 'Trade Log'!A:A, "&gt;="&amp;DATE(YEAR(TODAY()),7,1), 'Trade Log'!A:A, "&lt;"&amp;DATE(YEAR(TODAY()),8,1))</f>
        <v>0</v>
      </c>
      <c r="H9" s="35">
        <f ca="1">SUMIFS('Trade Log'!Q:Q, 'Trade Log'!A:A, "&gt;="&amp;DATE(YEAR(TODAY()),8,1), 'Trade Log'!A:A, "&lt;"&amp;DATE(YEAR(TODAY()),9,1))</f>
        <v>0</v>
      </c>
    </row>
    <row r="11" spans="2:10" ht="18" customHeight="1">
      <c r="B11" s="34" t="s">
        <v>90</v>
      </c>
      <c r="D11" s="34" t="s">
        <v>91</v>
      </c>
      <c r="F11" s="34" t="s">
        <v>92</v>
      </c>
      <c r="H11" s="34" t="s">
        <v>93</v>
      </c>
    </row>
    <row r="12" spans="2:10" ht="28.05" customHeight="1">
      <c r="B12" s="35">
        <f ca="1">SUMIFS('Trade Log'!Q:Q, 'Trade Log'!A:A, "&gt;="&amp;DATE(YEAR(TODAY()),9,1), 'Trade Log'!A:A, "&lt;"&amp;DATE(YEAR(TODAY()),10,1))</f>
        <v>0</v>
      </c>
      <c r="D12" s="35">
        <f ca="1">SUMIFS('Trade Log'!Q:Q, 'Trade Log'!A:A, "&gt;="&amp;DATE(YEAR(TODAY()),10,1), 'Trade Log'!A:A, "&lt;"&amp;DATE(YEAR(TODAY()),11,1))</f>
        <v>0</v>
      </c>
      <c r="F12" s="35">
        <f ca="1">SUMIFS('Trade Log'!Q:Q, 'Trade Log'!A:A, "&gt;="&amp;DATE(YEAR(TODAY()),11,1), 'Trade Log'!A:A, "&lt;"&amp;DATE(YEAR(TODAY()),12,1))</f>
        <v>0</v>
      </c>
      <c r="H12" s="35">
        <f ca="1">SUMIFS('Trade Log'!Q:Q, 'Trade Log'!A:A, "&gt;="&amp;DATE(YEAR(TODAY()),12,1), 'Trade Log'!A:A, "&lt;"&amp;DATE(YEAR(TODAY())+1,1,1))</f>
        <v>0</v>
      </c>
    </row>
  </sheetData>
  <conditionalFormatting sqref="B6:H6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B9:H9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B12:H12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Dashboard</vt:lpstr>
      <vt:lpstr>Trade Log</vt:lpstr>
      <vt:lpstr>Calendar View</vt:lpstr>
      <vt:lpstr>Yearly Review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2026-05-25T23:41:03Z</dcterms:created>
  <dcterms:modified xsi:type="dcterms:W3CDTF">2026-05-25T23:48:42Z</dcterms:modified>
  <cp:category/>
</cp:coreProperties>
</file>